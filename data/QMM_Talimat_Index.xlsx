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omments1.xml" ContentType="application/vnd.openxmlformats-officedocument.spreadsheetml.comments+xml"/>
  <Override PartName="/xl/threadedComments/threadedComment1.xml" ContentType="application/vnd.ms-excel.threadedcomments+xml"/>
  <Override PartName="/xl/customProperty2.bin" ContentType="application/vnd.openxmlformats-officedocument.spreadsheetml.customProperty"/>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BuÇalismaKitabi"/>
  <mc:AlternateContent xmlns:mc="http://schemas.openxmlformats.org/markup-compatibility/2006">
    <mc:Choice Requires="x15">
      <x15ac:absPath xmlns:x15ac="http://schemas.microsoft.com/office/spreadsheetml/2010/11/ac" url="\\bosch.com\dfsrb\DfsTR\DIV\TT\Quality_Management\QM3\QMM\01_Calisma_Talimatlari\1_Index\"/>
    </mc:Choice>
  </mc:AlternateContent>
  <xr:revisionPtr revIDLastSave="0" documentId="13_ncr:1_{6EAD6755-A069-4C31-920A-C4378173321F}" xr6:coauthVersionLast="47" xr6:coauthVersionMax="47" xr10:uidLastSave="{00000000-0000-0000-0000-000000000000}"/>
  <bookViews>
    <workbookView xWindow="-110" yWindow="-110" windowWidth="19420" windowHeight="11500" tabRatio="540" xr2:uid="{00000000-000D-0000-FFFF-FFFF00000000}"/>
  </bookViews>
  <sheets>
    <sheet name="Liste" sheetId="1" r:id="rId1"/>
    <sheet name="İPTAL" sheetId="4" r:id="rId2"/>
  </sheets>
  <definedNames>
    <definedName name="_Toc193180977" localSheetId="0">Liste!$G$30</definedName>
    <definedName name="_xlnm._FilterDatabase" localSheetId="1" hidden="1">İPTAL!$B$2:$I$45</definedName>
    <definedName name="_xlnm._FilterDatabase" localSheetId="0" hidden="1">Liste!$B$2:$I$107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7" i="1" l="1"/>
  <c r="H106" i="1"/>
  <c r="H28" i="1"/>
  <c r="H29" i="1"/>
  <c r="H105" i="1" l="1"/>
  <c r="H13" i="1"/>
  <c r="H103" i="1"/>
  <c r="H39" i="1"/>
  <c r="G53" i="4"/>
  <c r="H99" i="1"/>
  <c r="H100" i="1"/>
  <c r="H102" i="1"/>
  <c r="H98" i="1"/>
  <c r="H101" i="1"/>
  <c r="H104" i="1"/>
  <c r="H4" i="1"/>
  <c r="H5" i="1"/>
  <c r="H6" i="1"/>
  <c r="H7" i="1"/>
  <c r="H8" i="1"/>
  <c r="H9" i="1"/>
  <c r="H10" i="1"/>
  <c r="H11" i="1"/>
  <c r="H12" i="1"/>
  <c r="H14" i="1"/>
  <c r="H15" i="1"/>
  <c r="H16" i="1"/>
  <c r="H17" i="1"/>
  <c r="H18" i="1"/>
  <c r="H19" i="1"/>
  <c r="H20" i="1"/>
  <c r="H21" i="1"/>
  <c r="H22" i="1"/>
  <c r="H23" i="1"/>
  <c r="H24" i="1"/>
  <c r="H25" i="1"/>
  <c r="H26" i="1"/>
  <c r="H27" i="1"/>
  <c r="H30" i="1"/>
  <c r="H31" i="1"/>
  <c r="H32" i="1"/>
  <c r="H33" i="1"/>
  <c r="H34" i="1"/>
  <c r="H35" i="1"/>
  <c r="H36" i="1"/>
  <c r="H37" i="1"/>
  <c r="H38"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Durdabak Bartu (ManP/QMM1.3)</author>
    <author>tc={28FD8CCB-4E40-4E50-982D-A412213036E4}</author>
  </authors>
  <commentList>
    <comment ref="I24" authorId="0" shapeId="0" xr:uid="{FEB1162C-9E18-48DB-94F1-8465B9BDE869}">
      <text>
        <r>
          <rPr>
            <b/>
            <sz val="9"/>
            <color indexed="81"/>
            <rFont val="Tahoma"/>
            <family val="2"/>
          </rPr>
          <t>Durdabak Bartu (ManP/QMM1.3):</t>
        </r>
        <r>
          <rPr>
            <sz val="9"/>
            <color indexed="81"/>
            <rFont val="Tahoma"/>
            <family val="2"/>
          </rPr>
          <t xml:space="preserve">
RBGA-9575658</t>
        </r>
      </text>
    </comment>
    <comment ref="I60" authorId="0" shapeId="0" xr:uid="{3029980B-3A8F-4C34-997C-91AC0FBAE306}">
      <text>
        <r>
          <rPr>
            <b/>
            <sz val="9"/>
            <color indexed="81"/>
            <rFont val="Tahoma"/>
            <family val="2"/>
          </rPr>
          <t>Durdabak Bartu (ManP/QMM1.3):</t>
        </r>
        <r>
          <rPr>
            <sz val="9"/>
            <color indexed="81"/>
            <rFont val="Tahoma"/>
            <family val="2"/>
          </rPr>
          <t xml:space="preserve">
RBGA-9575731</t>
        </r>
      </text>
    </comment>
    <comment ref="I64" authorId="0" shapeId="0" xr:uid="{4C7B2DC8-3F98-4226-BBDB-C4B00AFA1115}">
      <text>
        <r>
          <rPr>
            <b/>
            <sz val="9"/>
            <color indexed="81"/>
            <rFont val="Tahoma"/>
            <family val="2"/>
          </rPr>
          <t>Durdabak Bartu (ManP/QMM1.3):</t>
        </r>
        <r>
          <rPr>
            <sz val="9"/>
            <color indexed="81"/>
            <rFont val="Tahoma"/>
            <family val="2"/>
          </rPr>
          <t xml:space="preserve">
RBGA-9575843</t>
        </r>
      </text>
    </comment>
    <comment ref="I65" authorId="0" shapeId="0" xr:uid="{723BB009-C83F-4125-8BDC-775C6216C6EA}">
      <text>
        <r>
          <rPr>
            <b/>
            <sz val="9"/>
            <color indexed="81"/>
            <rFont val="Tahoma"/>
            <family val="2"/>
          </rPr>
          <t>Durdabak Bartu (ManP/QMM1.3):</t>
        </r>
        <r>
          <rPr>
            <sz val="9"/>
            <color indexed="81"/>
            <rFont val="Tahoma"/>
            <family val="2"/>
          </rPr>
          <t xml:space="preserve">
RBGA-9575778</t>
        </r>
      </text>
    </comment>
    <comment ref="I66" authorId="0" shapeId="0" xr:uid="{18C8D615-EDBD-43A2-96DA-BB96E912E8A3}">
      <text>
        <r>
          <rPr>
            <b/>
            <sz val="9"/>
            <color indexed="81"/>
            <rFont val="Tahoma"/>
            <family val="2"/>
          </rPr>
          <t>Durdabak Bartu (ManP/QMM1.3):</t>
        </r>
        <r>
          <rPr>
            <sz val="9"/>
            <color indexed="81"/>
            <rFont val="Tahoma"/>
            <family val="2"/>
          </rPr>
          <t xml:space="preserve">
RBGA-9575921</t>
        </r>
      </text>
    </comment>
    <comment ref="H72" authorId="1" shapeId="0" xr:uid="{28FD8CCB-4E40-4E50-982D-A412213036E4}">
      <text>
        <t>[Yorum yazışması]
Excel sürümünüz bu yorum yazışmasını okumanıza izin veriyor, ancak dosya daha yeni bir Excel sürümünde açılırsa, yapılan düzenlemeler kaldırılır. Daha fazla bilgi: https://go.microsoft.com/fwlink/?linkid=870924.
Açıklama:
    Görsel kontroller TTVAN127'ye istianden yapılmaktadır. 109 numaralı QMM talimatı detayları netleştirmek adına yaratılmıştır. Proje aşamasında bir çok proje devam etmekte olduğundan taslak talimat ilgili talimat doyasında bulunmaktadır. Projelerin tamamlanması durumunda onaya çıkarılacaktır, proje ekipleri ile devam eden görüşmeler bulunmakatadır.</t>
      </text>
    </comment>
    <comment ref="I104" authorId="0" shapeId="0" xr:uid="{415026CE-CE33-48FA-B736-7BB7EAA5BEBD}">
      <text>
        <r>
          <rPr>
            <b/>
            <sz val="9"/>
            <color indexed="81"/>
            <rFont val="Tahoma"/>
            <family val="2"/>
          </rPr>
          <t>Durdabak Bartu (ManP/QMM1.3):</t>
        </r>
        <r>
          <rPr>
            <sz val="9"/>
            <color indexed="81"/>
            <rFont val="Tahoma"/>
            <family val="2"/>
          </rPr>
          <t xml:space="preserve">
RBGA-9614623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Uzun Betul (ManP/QMM1.3)</author>
  </authors>
  <commentList>
    <comment ref="G42" authorId="0" shapeId="0" xr:uid="{945CFBEA-72B6-4C3F-9313-B59BD6AC6410}">
      <text>
        <r>
          <rPr>
            <b/>
            <sz val="9"/>
            <color indexed="81"/>
            <rFont val="Tahoma"/>
            <family val="2"/>
          </rPr>
          <t>Uzun Betul (ManP/QMM1.3):</t>
        </r>
        <r>
          <rPr>
            <sz val="9"/>
            <color indexed="81"/>
            <rFont val="Tahoma"/>
            <family val="2"/>
          </rPr>
          <t xml:space="preserve">
Cihaz TEF'e teslim edilmiştir</t>
        </r>
      </text>
    </comment>
  </commentList>
</comments>
</file>

<file path=xl/sharedStrings.xml><?xml version="1.0" encoding="utf-8"?>
<sst xmlns="http://schemas.openxmlformats.org/spreadsheetml/2006/main" count="916" uniqueCount="336">
  <si>
    <t>TTTR - Talimat</t>
  </si>
  <si>
    <t>Revizyon no</t>
  </si>
  <si>
    <t>Revizyon tarihi</t>
  </si>
  <si>
    <t>1.1</t>
  </si>
  <si>
    <t>061_CT Güvenilirlik Testi</t>
  </si>
  <si>
    <t>1.0</t>
  </si>
  <si>
    <t>094_CT_QMM9_Z-Test_standi_kullanim_talimati</t>
  </si>
  <si>
    <t>096_CT_QMM9_Test standı tüp değişim talimatı</t>
  </si>
  <si>
    <t>2.0</t>
  </si>
  <si>
    <t>107_CT_QMM_Bölüm_Stajyerleri_İş_talimatı</t>
  </si>
  <si>
    <t>110_CT_QMM9_Kompanent Çalışma Talimatı</t>
  </si>
  <si>
    <t>035_CT_QMM9_Almanya_Market_Iadeleri</t>
  </si>
  <si>
    <t>069_CT_QMM9_Sızdırmazlık Test Standı</t>
  </si>
  <si>
    <t>070_CT_QMM9_Kontrol Standı Test Cihazı ve Aparat Acil durum Reaksiyon Planı</t>
  </si>
  <si>
    <t>072_CT_QMM9_S1&amp;S2 Test Standı</t>
  </si>
  <si>
    <t>073_CT_QMM9_S3 Test Standı</t>
  </si>
  <si>
    <t>074_CT_QMM9_Malzeme Tanımlama</t>
  </si>
  <si>
    <t>089_CT_QMM9_Komponent ve Kombi Hurdalama</t>
  </si>
  <si>
    <t>090_CT_QMM9_Acil_Durum_Planı</t>
  </si>
  <si>
    <t>103_CT_QMM9_Kombi Kaldırma Aparatı kullanım talimatı</t>
  </si>
  <si>
    <t>002_CT_QMM9_Musteri_Sikayeti_Kanallari_ve_Yonetimi</t>
  </si>
  <si>
    <t>071_CT_QMM9_TopDESK_Hızlı_Reaksiyon</t>
  </si>
  <si>
    <t>116_CT_QMM9_Field_Fix_Süreci</t>
  </si>
  <si>
    <t>1.2</t>
  </si>
  <si>
    <t>118 CT QMM9 Gaz Kaçak Testi</t>
  </si>
  <si>
    <t>119 CT QMM9 Toplam Devreye Alma Talimatı</t>
  </si>
  <si>
    <t>117 CT QMM9 CCS Test Talimatı</t>
  </si>
  <si>
    <t>Hazırlayan</t>
  </si>
  <si>
    <t>Değişiklik Olmaması Durumunda Güncellenmesi Gereken İlk Tarih</t>
  </si>
  <si>
    <t>Mehmet Kağan Saraç</t>
  </si>
  <si>
    <t>var</t>
  </si>
  <si>
    <t>4.0</t>
  </si>
  <si>
    <t>1.4</t>
  </si>
  <si>
    <t>Ömer Uçmak</t>
  </si>
  <si>
    <t>Ekrem Akay</t>
  </si>
  <si>
    <t>Coşkun Gündoğdu</t>
  </si>
  <si>
    <t>Begüm Kınay</t>
  </si>
  <si>
    <t>120 CT Yüksek Gerilim Talimatı</t>
  </si>
  <si>
    <t>Revizyon İçeriği</t>
  </si>
  <si>
    <t>İlk yayın</t>
  </si>
  <si>
    <t>-</t>
  </si>
  <si>
    <t>004_QMM1.3_İlk Numune_Kontrolünde_(ISIR)_Kalıp_Kaynaklı_Özel_Sapma_Durumları</t>
  </si>
  <si>
    <t>006_CT_QMM1.3_Ölcüm Aleti ve Cihazı Yeterliliği</t>
  </si>
  <si>
    <t>007_CT_QMM1.3_Paslanmaz Esanjor Yolma Testi</t>
  </si>
  <si>
    <t>011_CT_QMM1.3_Brenner Lightback Testi</t>
  </si>
  <si>
    <t>016_CT_QMM1.3_Ortam Sı. Ölçüm Belr. Etkisi</t>
  </si>
  <si>
    <t>017_CT_QMM_SAP Acil Durum Planı (Contingency Plan)</t>
  </si>
  <si>
    <t>019_CT_Poka Yoke – Jidoka Uygulamaları</t>
  </si>
  <si>
    <t>020_CT_QMM1.3_3 Boyutlu Ölçüm Cihazı</t>
  </si>
  <si>
    <t>021_CT_ QMM1.3_Plakalı Eşanjör ve Recuperator Burst Testleri</t>
  </si>
  <si>
    <t>028_CT_QMM1.3_C-PHE Fonksiyon Testi</t>
  </si>
  <si>
    <t>029_CT_QMM1.3_Kalibrasyon Firma Standartaları Kabul Kriterleri</t>
  </si>
  <si>
    <t>036_CT_QMM1.3 Akredite Kalibrasyon Şirketleri</t>
  </si>
  <si>
    <t>037_CT_QMM1.3_Kalibratör Acil Durum Planı</t>
  </si>
  <si>
    <t>039_CT_QMM1.3_C-PHE_Plakalı eşanjör CMM ölçüm talimatı</t>
  </si>
  <si>
    <t>041_CT_QMM_Cihaz_Kontrol Standı ve Kalibratör_Acil Durum Planı</t>
  </si>
  <si>
    <t>043_CT_QMM1.3_Numune Bırakma Alanı</t>
  </si>
  <si>
    <t>044_CT_QMM1-3_2 Boyutlu (Tesa Mihengir ) ölçüm cihazi kullanma talimatı.2</t>
  </si>
  <si>
    <t>045_CT_QMM1.3_Water Hammer Test Standı</t>
  </si>
  <si>
    <t>047_CT_QMM13_TPM_Sureci</t>
  </si>
  <si>
    <t>048_CT_QMM1.3_Procella data girişi</t>
  </si>
  <si>
    <t>050_CT_QMM1.3_Planlı - Plansız Duruşlar ve Potansiyel Hasarlar_Çalışma Talimatı</t>
  </si>
  <si>
    <t>051_CT_QMM1.3_ECR onayı</t>
  </si>
  <si>
    <t>052_CT_QMM1.3_Recuprerator CMM ölçüm talimatı</t>
  </si>
  <si>
    <t>053_CT_QMM1.3_Recuprerator basınç düşümü ölçüm talimatı</t>
  </si>
  <si>
    <t>055_CT_QMM1.3 Proses Kontrol</t>
  </si>
  <si>
    <t>056_CT_QMM1.3 Water Hammer Testi Reaksiyon Planı</t>
  </si>
  <si>
    <t>075_CT_QMM1.3-C-PHE Basınç Düşümü Testi</t>
  </si>
  <si>
    <t>076_CT_QMM1.3_Torkmetre Kalibratörü Kullunum Talimatı</t>
  </si>
  <si>
    <t>077_CT_QMM1.3_ATEQ Sızdırmazlık Kalibratörü Kullanım Talimatı</t>
  </si>
  <si>
    <t>078_CT_QMM1.3_Direnç Kalibratörü Kullanım Talimatı</t>
  </si>
  <si>
    <t>079_CT_QMM1.3_multimetre kalibratörü kullanım talimatı</t>
  </si>
  <si>
    <t>080_CT_QMM1.3_Gaz Saati Kalibratörü Kullanım Talimatı</t>
  </si>
  <si>
    <t>081_CT_QMM1.3_Banyo Kullanım Talimatı</t>
  </si>
  <si>
    <t>083_CT_QMM1.3_Hava debisi Kalibratörü Kullanım Talimatı</t>
  </si>
  <si>
    <t>084_CT_QMM1.3_Su debisi Kalibratörü Kullanım Talimatı</t>
  </si>
  <si>
    <t>085_CT_QMM1.3_Multimetre Kullanım Talimatı</t>
  </si>
  <si>
    <t>086_CT_QMM1.3_Basınç Kalibrasyonu Talimatı</t>
  </si>
  <si>
    <t>088_CT_QMM1.3_3 Boyutlu Ölçüm Cihazı ile Water Jacket Ölçümü Talimatı</t>
  </si>
  <si>
    <t>091_CT_QMM1.3_Cihaz_Kontrol Standı ve Kalibratör_Acil Durum Planı</t>
  </si>
  <si>
    <t>093_CT_QMM1.3_Hexagon Inspector Doğrulama Talimatı</t>
  </si>
  <si>
    <t>097_CT_QMM1.3_CCS_Yeterlilik_Analizi</t>
  </si>
  <si>
    <t>098_CT_QMM1.3_Hexagon_Inspector_Kullanım_Talimatı</t>
  </si>
  <si>
    <t>032_CT_QMM1.1_Boyalı_Parca_Z_Test</t>
  </si>
  <si>
    <t>057_CT_QMM1_Atikgaz_kontrolü</t>
  </si>
  <si>
    <t>058_CT_QMM1_CCS_test_kontrolü</t>
  </si>
  <si>
    <t>059_CT_QMM1_gazkacak_test</t>
  </si>
  <si>
    <t>060_CT_QMM1_yuksek_gerilim</t>
  </si>
  <si>
    <t>062_CT_QMM1_Proses_Kontrol</t>
  </si>
  <si>
    <t>063_CT_QMM1_Cam_Yapistirma_Prosesi_Ara_Kontrol_Talimati</t>
  </si>
  <si>
    <t>064_CT_QMM1_Urun_Tetkiki</t>
  </si>
  <si>
    <t>092_CT_QMM1_Lab_Calisma_Talimati</t>
  </si>
  <si>
    <t>101_CT_QMM1.3_Uygunsuzluk_Numunesi_Muhafaza_Talimatı</t>
  </si>
  <si>
    <t>102_CT_QMM_Kimyasal_Maddelerin_Muhafazası_ve_Atık_Yönetimi</t>
  </si>
  <si>
    <t>104_CT_QMM13_Talimat_Guncelleme_ve_Egitim_Takip_Sureci_Talimatı</t>
  </si>
  <si>
    <t>105_CT_QMM1.3_C-PHE_Test_Template_Panel_Talimatı</t>
  </si>
  <si>
    <t>108_CT_QMM1_Tüp_Barakası_Çalışma_Talimatı</t>
  </si>
  <si>
    <t>109_CT_QMM1.1_Görsel_Hatalar_Kabul_Kriterleri_talimatı</t>
  </si>
  <si>
    <t>111_CT_QMM1.1_Blokaj_Alanı_Çalışma_Talimatı</t>
  </si>
  <si>
    <t>112_CT_QMM1.1_Yedek_Parca_ACP_HCM_ISIR_Talimatı</t>
  </si>
  <si>
    <t>113-QMM1.1_ZFER_ZHAL_HAWA_Serbestliği_Talimatı</t>
  </si>
  <si>
    <t>115-CT_QMM1.1_Planlı_Plansız_Duruşlar_Talimatı</t>
  </si>
  <si>
    <t>Bölüm</t>
  </si>
  <si>
    <t>QMM9</t>
  </si>
  <si>
    <t>QMM</t>
  </si>
  <si>
    <t>QMM1.3</t>
  </si>
  <si>
    <t>QMM1</t>
  </si>
  <si>
    <t>3.4</t>
  </si>
  <si>
    <t>3.0</t>
  </si>
  <si>
    <t>1.3</t>
  </si>
  <si>
    <t>4.1</t>
  </si>
  <si>
    <t>2.1</t>
  </si>
  <si>
    <t>2.3</t>
  </si>
  <si>
    <t>Betül Uzun</t>
  </si>
  <si>
    <t>Onur Cevat Uysal</t>
  </si>
  <si>
    <t>Güncellik kontrolü yapıldı, değişen herhangi bir süreç olmadığından talimatta bir değişiklik yapılmadı.</t>
  </si>
  <si>
    <t>Talimat kontrol edilmiş. Herhangi bir güncelleme yapılmamıştır.</t>
  </si>
  <si>
    <t>Herhangi bir değişiklik yapılmamış olup içe-rik kontrolü yapılarak yeniden yayınlanmış-tır.</t>
  </si>
  <si>
    <t>114_CT_QMM1.3_AHP_Kullanım_Talimatı</t>
  </si>
  <si>
    <t>100_CT_QMM_Rapor_Oluşturma_ve_Kayıt_Talimatı</t>
  </si>
  <si>
    <t>Ümit Küçükoğlu</t>
  </si>
  <si>
    <t>E.Yağmur Akdoğan</t>
  </si>
  <si>
    <t>İçerik kontrolü yapıldı, departman adları güncellendi</t>
  </si>
  <si>
    <t>QMM1.1</t>
  </si>
  <si>
    <t>TTM QMM Manual</t>
  </si>
  <si>
    <t>QG Moderator Manual</t>
  </si>
  <si>
    <t>QMM7</t>
  </si>
  <si>
    <t>Q M M    Ç a l ı ş m a    T a l i m a t l a r ı     K o n t r o  l     L i s t e s i - İPTAL</t>
  </si>
  <si>
    <t>İptal Onay Dokümanı</t>
  </si>
  <si>
    <t>001_CT_“A” Özelliği Taşıyan Çalışma Standları</t>
  </si>
  <si>
    <t>005_CT_Örnekleme Planı</t>
  </si>
  <si>
    <t>Erman Paşa</t>
  </si>
  <si>
    <t>2.2</t>
  </si>
  <si>
    <t>008_CT_Iade Malzeme Akısı</t>
  </si>
  <si>
    <t xml:space="preserve">Ali Yurteri </t>
  </si>
  <si>
    <t>009_CT_Iade ve Sikayet İslemleri</t>
  </si>
  <si>
    <t>010_CT_Musteri Sikayetleri 8D</t>
  </si>
  <si>
    <t>Nazif Koç</t>
  </si>
  <si>
    <t>013_CT_Serit Testere</t>
  </si>
  <si>
    <t>Serkan Cilara</t>
  </si>
  <si>
    <t>010_CT_APS</t>
  </si>
  <si>
    <t>Ömer UÇMAK</t>
  </si>
  <si>
    <t>Format güncellemesi</t>
  </si>
  <si>
    <t>013_CT_Eşanjör Kontrol Talimatı</t>
  </si>
  <si>
    <t>015_CT_Zımpara ve Kesme Makinası</t>
  </si>
  <si>
    <t>018_CT_Return Part Instruction</t>
  </si>
  <si>
    <t>022_CT_Active Field Observation</t>
  </si>
  <si>
    <t>Nizamettin Uğurlu</t>
  </si>
  <si>
    <t>022_CT_Doldurma vanası</t>
  </si>
  <si>
    <t>023_CT_Pompa Kontrol Talimatı</t>
  </si>
  <si>
    <t>024_CT_ESD-Topraklama Cihazı Kullanımı</t>
  </si>
  <si>
    <t xml:space="preserve">Hüseyin Yiğit </t>
  </si>
  <si>
    <t>024_CT_Manometre</t>
  </si>
  <si>
    <t>025_CT_Emniyet Ventili</t>
  </si>
  <si>
    <t>012_CT_PHE Fonksiyon Test Standı</t>
  </si>
  <si>
    <t>026_CT_Recuparator Kontrol Talimatı</t>
  </si>
  <si>
    <t>031_CT_TTM Projelerinde QMM Gorevleri</t>
  </si>
  <si>
    <t>033_CT_QMM Mavi Yaka Çalışan Özellikleri</t>
  </si>
  <si>
    <t>034_CT_Asit banyosu Ceker Ocak Temizligi</t>
  </si>
  <si>
    <t>042_CT_Reaksiyon_Planı_</t>
  </si>
  <si>
    <t>Elif Yağmur Akdoğan</t>
  </si>
  <si>
    <t>049_CT</t>
  </si>
  <si>
    <t>054_CT_Genel_Calisma_Talimati</t>
  </si>
  <si>
    <t>046_CT_Mastar ve Cihaz_Kalibrasyon_ Acil Durum Planı</t>
  </si>
  <si>
    <t>040_CT_Dış Firma Kalibrasyon Acil Durum Planı</t>
  </si>
  <si>
    <t>030_CT_Gaz Borusu Et Kalınlığı Kontrolü</t>
  </si>
  <si>
    <t>065_CT_Sac Parçaların Kontrol Talimatı</t>
  </si>
  <si>
    <t>066_CT_Basınc sensoru</t>
  </si>
  <si>
    <t>067_CT_Flap Facia</t>
  </si>
  <si>
    <t>068_CT_Barkod okutma talimatı</t>
  </si>
  <si>
    <t>Zeynel Levent Cücük</t>
  </si>
  <si>
    <t>008_CT_Plakalı Eşanjör</t>
  </si>
  <si>
    <t>009_CT_3 Yollu vana</t>
  </si>
  <si>
    <t>014_CT_Türbin</t>
  </si>
  <si>
    <t>015_CT_Gaz Valfi</t>
  </si>
  <si>
    <t>018_CT_Genleşme Tankı</t>
  </si>
  <si>
    <t>034_CT_Fan</t>
  </si>
  <si>
    <t>099_CT_Proses_Kontrol_Panel_Kullanım_Talimatı</t>
  </si>
  <si>
    <t>095_CT_3D Tarama Cihazı ile Plaka Tarama Talimatı</t>
  </si>
  <si>
    <t>087_CT_3D Tarama Cihazı Kalınlık Ölçüm Talimatı</t>
  </si>
  <si>
    <t>082_CT_3D Tarama Cihazı Doğrulama Talimatı</t>
  </si>
  <si>
    <t>014_CT_Serit Testere Kaynak Makinası</t>
  </si>
  <si>
    <t>106_CT_WH_Başlatma Talimatı</t>
  </si>
  <si>
    <t>İptal tarihi</t>
  </si>
  <si>
    <t>İptal Öncesi En Son Revizyon No</t>
  </si>
  <si>
    <t>İptal Öncesi En Son Revizyon Tarihi</t>
  </si>
  <si>
    <t>Yok</t>
  </si>
  <si>
    <t>Bu numara hiç kullanılmamış.</t>
  </si>
  <si>
    <t>Var</t>
  </si>
  <si>
    <t>121_CT_QMM1.3_C-PHE_Plaka_CMM_Lazer_Tarama_Talimatı</t>
  </si>
  <si>
    <t>Güncellik kontrolü yapıldı</t>
  </si>
  <si>
    <t>Talimat gözden geçirilerek tarihi güncellenmiştir.</t>
  </si>
  <si>
    <t>Ilgaz Ateşci Er</t>
  </si>
  <si>
    <t>Değişen sürece uygun olarak talimat güncellendi</t>
  </si>
  <si>
    <t>QMM13_048_Kalibrasyon merkezi ortam sıcaklık ve nem kontrol formu bilgileri eklendi.</t>
  </si>
  <si>
    <t>Stand revizyon sonrası kontrol ve test adımları
güncelleşti</t>
  </si>
  <si>
    <t>Güncellik kontrolü yapıldı, linkler revize edildi</t>
  </si>
  <si>
    <t>122_CT_QMM1.3 Plakalı eşanjör ATEQ Sızdırmazlık Kalibratörü Kullanım Talimatı</t>
  </si>
  <si>
    <t>Can Uğurlu</t>
  </si>
  <si>
    <t>123_CT_QMM1.3_Boyalı_Parça_Görsel_Kabul_Kriter_talimatı</t>
  </si>
  <si>
    <t>124_CT_QMM1.3_Boya_Kalınlığı_Ölçümü_Talimatı</t>
  </si>
  <si>
    <t>125_CT_QMM1.3_Boya_Parlaklığı_Ölçümü_Talimatı</t>
  </si>
  <si>
    <t>126_CT_QMM1.3_Boya_Renk_Tonu(L,A,B)_Ölçümü_Talimatı</t>
  </si>
  <si>
    <t>127_CT_QMM1.3 MUAYENE, ÖLÇME VE DENEY TEÇHİZATI TANIMLAMALARI VE KONTROL TALİMATNAMELERİ</t>
  </si>
  <si>
    <t>128_CT_QMM1.3_Procella Kontrol Planı Oluşturma</t>
  </si>
  <si>
    <t>130_CT_QMM1.3 MOE1 Brooks Gaz Debi Kalibrasyon Talimatı</t>
  </si>
  <si>
    <t>129_CT_QMM1.3_Citrix El Kitabı</t>
  </si>
  <si>
    <t>131_CT_QMM1.3_Cam_Yapıştırma_Görsel_Kontrol_Talimatı</t>
  </si>
  <si>
    <t>132_CT_QMM1.3_Plazma_Kontrol_Talimatı</t>
  </si>
  <si>
    <t>133_CT_QMM1.3_Çekme_Testi_Talimatı</t>
  </si>
  <si>
    <t xml:space="preserve"> Ek -4,5,6 revize edilerek, Ek-7 ABTR Test Standı Çalışma Talimatı eklenerek güncellendi. 
Talimatın tarihi güncellendi.</t>
  </si>
  <si>
    <t>Doğa Kaytancı</t>
  </si>
  <si>
    <t>TPM ve Otonom Bakım Planı güncel içerik eklenmiştir. Talimat tarihi güncellenmiştir. 
Dosya Adı: Ek5_Test_Standı_Tüp_Değişim_Talimatı_V1.1.pdf</t>
  </si>
  <si>
    <t>Ö. Bayramoğlu</t>
  </si>
  <si>
    <t>134_CT_QMM1.3_Ölçüm Belirsizliği Hesaplama Talimatı</t>
  </si>
  <si>
    <t>FCO560 kalibratör kullanım detayları eklenmiştir.</t>
  </si>
  <si>
    <t>Arşivleme için link eklendi.</t>
  </si>
  <si>
    <t>135_CT_QMM1.3_Recuperator_Test_Talimatı</t>
  </si>
  <si>
    <t>038_CT_QMM1.3 Ürün Kontrol Talimatı</t>
  </si>
  <si>
    <t>Bahsedilen dökümanların adları TT-VAN ye-rine HCCD olarak değiştirilmiştir.</t>
  </si>
  <si>
    <t>Medet Koçak</t>
  </si>
  <si>
    <t>4 Genel hükümler kısmına hortum değişim süreleri eklenmiştir.</t>
  </si>
  <si>
    <t>yok</t>
  </si>
  <si>
    <t>4 Genel hükümler kısmına hortum değişim süresi eklenmiştir.</t>
  </si>
  <si>
    <t>4.0 Genel hükümlere Hortum değişim süreleri eklendi.</t>
  </si>
  <si>
    <t xml:space="preserve">Ölçüm aleti kaldırıldı.
Test Yapılışı altındaki adımlar güncellendi.
Resimler güncellendi. </t>
  </si>
  <si>
    <t>Linkler güncellenmiştir.
HAWA parça kontrolü HCCD mevcut dokümanlarına istinaden güncellenmiştir</t>
  </si>
  <si>
    <t>Yeni cihaz aileleri eklenmiştir.</t>
  </si>
  <si>
    <t>Güncellenen 8737600530 nolu test dökümanına istinaden talimat güncellenmiştir.4.6 Formların Kaydı eklenmiştir.</t>
  </si>
  <si>
    <t>Bahsi geçen kontrol planı revize edildi</t>
  </si>
  <si>
    <t>Talimat genel olarak gözden geçirilerek revize edildi.</t>
  </si>
  <si>
    <t>Talimat genel olarak gözden geçirilerek revize edildi. 8-737-600-530 test talimatının son revizyonuna göre ilgili yerler güncellendi. Linkler ve notlar güncellendi.</t>
  </si>
  <si>
    <t>Referans dokumanlar güncellenmiştir. 
Proses tanımı sadeleştirilmiştir.İçerikte herhangi bir değişiklik yapılmamıştır.</t>
  </si>
  <si>
    <t>Samet Altun</t>
  </si>
  <si>
    <t>Yaren Gökçen Güdük</t>
  </si>
  <si>
    <t>Stahlwille 7794-1 torkmetre kalibratörü bilgileri eklenmiştir.</t>
  </si>
  <si>
    <t xml:space="preserve">Ek1 kaldırılarak Ek2_0029_Güncel firma standartları listesine atıfta bulunuldu. </t>
  </si>
  <si>
    <t xml:space="preserve">Ek kısımına yeni KKP ler linklenmiştir. </t>
  </si>
  <si>
    <t>4.1.2 Gaz Analiz Test Cihazları ve 5.1 Genel Kontroller içerikleri güncellenmiştir.</t>
  </si>
  <si>
    <t xml:space="preserve">QMM1.1 ve ENG-EPM gaz debi kalibrasyon bilgileri eklendi.
MOE1 gain limiti %2 den %3 e çıkarıldı. </t>
  </si>
  <si>
    <t>Ek1 revize edilmiştir. (JMT NF1 standardı)</t>
  </si>
  <si>
    <t xml:space="preserve">Gözden geçirilerek QMM1.1'e ait olan bu talimattan hali hazırda QMM1.3 talimatları içerisinde belirtilen kalibratör kısmı kaldırılmıştır.
" QMM Cihaz - Kontrol Standı" tablosu güncellenmiştir. </t>
  </si>
  <si>
    <t>Çağlar Selvi</t>
  </si>
  <si>
    <t xml:space="preserve">Tesa mihengir doğrulama kontrol formu kullanım sıklığı güncellen-miştir. </t>
  </si>
  <si>
    <t>Proses tanımı güncellenmiştir.
Linkler revize edilmiştir.</t>
  </si>
  <si>
    <t>MQIS raporlama detayları eklenmiştir.</t>
  </si>
  <si>
    <t>136_CT_QMM1.3_CCC_HE_Sızdırmazlık_Test_Talimatı</t>
  </si>
  <si>
    <t>Bartu Durdabak</t>
  </si>
  <si>
    <t>AHP programının mail atabilmesinin devamlılığının sağlanması adına şifre değişikliği sorumlusu kişi bilgisi eklendi. (Kalibrasyon teknisyeni)
AHP de kontrol planı revize edildiğinde QM kalite dokümanları kontrol planlarının da gözden geçirilmesi gerekliliği bilgisi eklendi. (Kalibrasyon teknisyeni)</t>
  </si>
  <si>
    <t xml:space="preserve">4.8.2 Aksiyonların One Note ile Takibi bölümü çıkartılmıştır.
Linkler güncellenmiştir.
4.7 Ölçümü Tamamlanan Plakaların Sak-lanması frekansı 1 ay olarak güncellenmiştir. </t>
  </si>
  <si>
    <t>QMM1.1‘ e atanan kontrol görevleri QMM1.3‘ e aktarılmıştır.</t>
  </si>
  <si>
    <t>Lamel sayısı kontrolü tanımlandı.</t>
  </si>
  <si>
    <t>Yağmur Keskin</t>
  </si>
  <si>
    <t>Genelleştirme amacıyla Testleck numarası,
cihaz ve takip numarası metinden
çıkarılmıştır. Güncel talimat şablonu
kullanılmıştır. Test basıncında belirtilen tolerans
değeri, değişkenlik gösterebileceği için
metinden çıkarılmıştır. Ayrıca, takım lideri ifadesi
de çıkarılmıştır.</t>
  </si>
  <si>
    <t>REJ 1225 G Model Sulu Tip Lauda Banyo kullanım bilgileri talimata eklenmiştir.</t>
  </si>
  <si>
    <t>Numune bırakma alanı güncellendi. Linkler güncellendi.</t>
  </si>
  <si>
    <t>- Son ziyaret kontrol formu oluşturulup eklenmiştir. - Madde 4.2.2 de belirtilen devreye alma kontrol formu bahsedilen dökümanlar (madde 5 Bahsedilen dökümanlar) listesindeki referans numarası düzeltilmiştir. - Madde 4.2.2 de belirtilen ziyaret kontrol formu (madde 5 Bahsedilen dökümanlar) listesindeki referans numarası düzeltilmiştir. - Madde 4.2.2 ye alan 4.paragrafta bulunan testi tamamlanan cihazlarda yapılması gereken ziyeret kontrol formu Son ziyaret kontrol formu ile değiştirilmiştir. Madde 5 Bahsedilen dökümanlar kısmında 6 numara ile referanslandırılmıştır. - Madde 4.2.2 de 4. Paragrafta bulunan test sonuçlandırıldığında cihazın akibeti (müşteride bırakma,müşteriden geri alma) ile ilgili durum güncellenmiştir.</t>
  </si>
  <si>
    <t>CT_92 kapsamında bulunduğundan ,Ek3-ABTR Test Standı Çalışma Talimatı CT_64 kapsamın_x0002_dan kaldırıldı. 6 ve 7 başlıklı “İş akışları” Ek1_RA_x0002_SIC_TR_ENG ek dokümanı dolayısıyla kap_x0002_samda bulunduğundan talimattan çıkarıldı. Ek1_RASIC_TR_ENG hata bildirim kaynakları detaylandırıldı. (PT_LPC)</t>
  </si>
  <si>
    <t>Reaksiyon Tablosu güncellendi.</t>
  </si>
  <si>
    <t>Kaçak kontrol spreyi kullanım detayları eklendi</t>
  </si>
  <si>
    <t>Güncellik kontrolü yapıldı, amaç ve geçerlilik alanı güncellendi</t>
  </si>
  <si>
    <t>Engin Kaya</t>
  </si>
  <si>
    <t>15.03.2024 tarihinde yapılan tatbikat sonrası Proses tanımı güncellendi
CO sensör dedektöründeki sesli ibaresi çıkarıldı.</t>
  </si>
  <si>
    <t>Talimat gözden geçirilerek linkler güncellen_x0002_miştir. ECR ve MDGM onayı notu 5. Başlığa eklenmiştir. ManP ISIR Tool’un QMM1.1 kullanımı bulun_x0002_madığından talimattan ilgili referans kaldırılmıştır.</t>
  </si>
  <si>
    <t>Ayhan Öz
Ceren Uyar</t>
  </si>
  <si>
    <t>İsim ve kısaltmalar güncellendi</t>
  </si>
  <si>
    <t>Citrix programına yazma satırı eklendi.</t>
  </si>
  <si>
    <t>İş Güvenliği maddesi eklenmiştir</t>
  </si>
  <si>
    <t xml:space="preserve">137_CT_MOE3 Mastar Tasarım Onayı </t>
  </si>
  <si>
    <t>QMM Konfirmasyonları</t>
  </si>
  <si>
    <t>B. Alyanak Tuna</t>
  </si>
  <si>
    <t>Hyperlinks have been revised.
Procedure names have been changed as HCCD.
Responsibility of QPT has been 
transferred to EPM from QMM</t>
  </si>
  <si>
    <t>Work package has been added for all criteria in the QG.
TT-VAN has been changed as HCC</t>
  </si>
  <si>
    <t>QMM Çalışma Talimatları Kontrol Listesi</t>
  </si>
  <si>
    <t>Onay Dokümanı</t>
  </si>
  <si>
    <t xml:space="preserve"> QMM 1.3 Kontrol Örnekleme Planı, Ek3 içerisinde belirtilmiştir.</t>
  </si>
  <si>
    <t>4.7</t>
  </si>
  <si>
    <t>2.4</t>
  </si>
  <si>
    <t>E. Yağmur Akdoğan</t>
  </si>
  <si>
    <t>138_CT_QMM9_Ek_İş_Çalısma_Talimatı</t>
  </si>
  <si>
    <t>139_CT_QMM9_Online_Satış_İade_Ürünlerin_Kontrolü</t>
  </si>
  <si>
    <t>Güliz Ersan</t>
  </si>
  <si>
    <t>Deniz Arman</t>
  </si>
  <si>
    <t>• Talimat adı „TR Market – Üretim ve De_x0002_vreye Alma Adetlerinin Çekimi“ olarak değiştirildi.
• TTSM sisteminden veri çekimi adımları ve kullanılan dosyalar güncellendi.
• Güncellenen Devreye Alma PowerBI açıklaması eklendi.
• Ek1-Tarih Formatı Düzenleme yeni eklendi.</t>
  </si>
  <si>
    <t>4.3 kabul kriteri içerisinde yer alan max gerilme değeri güncellenmiştir.</t>
  </si>
  <si>
    <t>Linkler güncellendi. 4.2 C- PHE Fonksiyon Test Standı kısmı güncellendi.</t>
  </si>
  <si>
    <t>4.3.1 Aksiyon Takibi bölümünden OneNote kısımları silinmiştir ve mail formatları eklenmiştir, linkler revize edilmiştir.</t>
  </si>
  <si>
    <t>Proses kontrol ve SG karakteristik Procella giriş kontrolü bilgisi eklendi.</t>
  </si>
  <si>
    <t>4.3</t>
  </si>
  <si>
    <t>1.7</t>
  </si>
  <si>
    <t>1.9</t>
  </si>
  <si>
    <t>1.8</t>
  </si>
  <si>
    <t>1.5</t>
  </si>
  <si>
    <t>5.1</t>
  </si>
  <si>
    <t>3.2</t>
  </si>
  <si>
    <t>5.0</t>
  </si>
  <si>
    <t>4.2</t>
  </si>
  <si>
    <t>6.0</t>
  </si>
  <si>
    <t>6.1</t>
  </si>
  <si>
    <t>2.5</t>
  </si>
  <si>
    <t>Siperlik için görsel ve Stand3 tüp gaz hatları 
eklenmiştir.</t>
  </si>
  <si>
    <t>Ölçüm sonuçlarının kaydının yapıldığı uzantı değiştirilmiştir.</t>
  </si>
  <si>
    <t>Talimat formatı ve içeriği değişti.</t>
  </si>
  <si>
    <t>Talimat Formatı ve Bölüm isimleri güncellendi.</t>
  </si>
  <si>
    <t>Proses tanımına bayi İadesi cihazların ek iş adımları eklenmiştir</t>
  </si>
  <si>
    <t>Kağan Kanbur</t>
  </si>
  <si>
    <t>Format güncellendi.
Yıllık kontrol bilgisi eklendi.</t>
  </si>
  <si>
    <t>069_CT_QMM9_Sızdırmazlık_Test_standı_ver2.1</t>
  </si>
  <si>
    <t>Yeni format değişikliği yapıldı</t>
  </si>
  <si>
    <t xml:space="preserve">Workon onay süreci eklendi. </t>
  </si>
  <si>
    <t>1.6</t>
  </si>
  <si>
    <t>Güncellik kontrolü yapıldı. Linkler güncellendi.</t>
  </si>
  <si>
    <t>Güncellik kontrolü yapıldı. Linkler düzenlendi.</t>
  </si>
  <si>
    <t>Güncellik kontrolü yapıldı.</t>
  </si>
  <si>
    <t>Kimyasal etiket ve tanımlamalar değiştiği için görseller güncellendi.</t>
  </si>
  <si>
    <t>140_CT_QMM9_TR_Servis_Karnesi_E-Mail_Otomasyonu_Çalıştırma_Talimatı</t>
  </si>
  <si>
    <t>Format değişikliği yapıldı. - 4.2 Yurt İçi İadelerin Data Tracker’a Kaydı eklendi. - 4.3 Yurt Dışı İadelerinin Data Tracker’a Kaydı eklendi. - 4.4 Parçanın Bekletilmesi, Hurdalanma ve Tedarikçiye Gönderilme Prosesi eklendi.</t>
  </si>
  <si>
    <t>Elif Ünaldı</t>
  </si>
  <si>
    <t>027_CT_QMM9_Musteri_iadeleri_calisma_talimati.docx</t>
  </si>
  <si>
    <t>141_CT_QMM1.3_Keskin_Kenar_Kontrol_Aparatı_Kullanımı_Talimatı</t>
  </si>
  <si>
    <t>003_CT_QMM_Dıs Firma Kalibrasyonu</t>
  </si>
  <si>
    <t>Murat Önen</t>
  </si>
  <si>
    <t>Şablon güncellenmiştir.</t>
  </si>
  <si>
    <t>Yenş ölçüm cihazı kodları eklenmiştir. AHP'de yeni tanıtılacak bir cihaza kod verilirken kalibrasyon mühendisine danışılması gerektiği bilgisi eklenmiştir.</t>
  </si>
  <si>
    <t>Rutin kontrol, herhangi bir değişiklik yapılmamıştır.</t>
  </si>
  <si>
    <t>Güncellik kontrolü yapıldı, referans dökümanlar güncellendi.</t>
  </si>
  <si>
    <t>Güncellik kontrolü yapıldı. Uygun şablona geçildi.</t>
  </si>
  <si>
    <t>NOK yeterliliklerde otomatik mail gönderme butonu iptal edilmiştir, ek1 ölçüm aletleri ve parametre bazında MSA uygulama listesi güncellenmiştir.</t>
  </si>
  <si>
    <t>İçerik güncellendi. Ek tanımlama kartları eklendi.</t>
  </si>
  <si>
    <t>3.3</t>
  </si>
  <si>
    <t>Egehan Tezcan</t>
  </si>
  <si>
    <t>Talimat formatı güncellenmiştir.
QMM7 başlığı departman ismi değişikliği se-bebiyle QMM olarak güncellenmiştir.
QMM1 başlığı departman ismi değişikliği se-bebiyle güncellenmiştir.</t>
  </si>
  <si>
    <t>142_CT_QMM1.3_S-PHE_Kaynak_Kalitesi_Reaksiyon_Planı</t>
  </si>
  <si>
    <t>143_CT_QMM1.3_Stud-bolt (S-PHE) Test Cihazı Kullanım Talimatı</t>
  </si>
  <si>
    <t xml:space="preserve">Kalibrasyon tedarikçisi seçim kriterleri ve 50K üstü siparişler için 2.fiyat teklifi alınması koşulları eklenmiştir. </t>
  </si>
  <si>
    <t>4.3 Kombi Hurdalama prosesine ek madde eklenmiştir. Yurt dışı marketlerinden analiz nedeni ile istenen cihazlar, analiz süreci bittikten sonra(en fazla 6 ay içinde) hurdalanması için Lollar’a gönderilir ve hurdalanması sağlanır.Bknz. TTTR-Van107-Geçici_Gi rişler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</si>
</sst>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Arial"/>
      <family val="2"/>
      <charset val="162"/>
    </font>
    <font>
      <sz val="10"/>
      <color theme="1"/>
      <name val="Arial"/>
      <family val="2"/>
    </font>
    <font>
      <sz val="10"/>
      <color theme="1"/>
      <name val="Arial"/>
      <family val="2"/>
    </font>
    <font>
      <u/>
      <sz val="10"/>
      <color theme="10"/>
      <name val="Arial"/>
      <family val="2"/>
      <charset val="162"/>
    </font>
    <font>
      <b/>
      <sz val="9"/>
      <color indexed="81"/>
      <name val="Tahoma"/>
      <family val="2"/>
    </font>
    <font>
      <sz val="9"/>
      <color indexed="81"/>
      <name val="Tahoma"/>
      <family val="2"/>
    </font>
    <font>
      <sz val="10"/>
      <color theme="1"/>
      <name val="Bosch Office Sans"/>
    </font>
    <font>
      <sz val="12"/>
      <color theme="1"/>
      <name val="Bosch Office Sans"/>
    </font>
    <font>
      <b/>
      <sz val="12"/>
      <color theme="0"/>
      <name val="Bosch Office Sans"/>
    </font>
    <font>
      <sz val="10"/>
      <name val="Arial"/>
      <family val="2"/>
    </font>
    <font>
      <sz val="10"/>
      <color theme="1"/>
      <name val="Arial"/>
      <family val="2"/>
    </font>
    <font>
      <u/>
      <sz val="10"/>
      <color theme="10"/>
      <name val="Arial"/>
      <family val="2"/>
    </font>
    <font>
      <b/>
      <sz val="14"/>
      <color theme="0"/>
      <name val="Bosch Office Sans"/>
    </font>
    <font>
      <sz val="10"/>
      <color rgb="FFFF0000"/>
      <name val="Arial"/>
      <family val="2"/>
    </font>
    <font>
      <sz val="11"/>
      <color theme="1"/>
      <name val="Bosch Office Sans"/>
    </font>
    <font>
      <b/>
      <sz val="11"/>
      <color theme="0"/>
      <name val="Bosch Office Sans"/>
    </font>
    <font>
      <sz val="8"/>
      <name val="Arial"/>
      <family val="2"/>
      <charset val="162"/>
    </font>
    <font>
      <sz val="9"/>
      <color theme="1"/>
      <name val="Bosch Office Sans"/>
    </font>
    <font>
      <b/>
      <sz val="10"/>
      <color theme="0"/>
      <name val="Bosch Office Sans"/>
    </font>
  </fonts>
  <fills count="4">
    <fill>
      <patternFill patternType="none"/>
    </fill>
    <fill>
      <patternFill patternType="gray125"/>
    </fill>
    <fill>
      <patternFill patternType="solid">
        <fgColor rgb="FF005691"/>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73">
    <xf numFmtId="0" fontId="0" fillId="0" borderId="0" xfId="0"/>
    <xf numFmtId="0" fontId="0" fillId="0" borderId="0" xfId="0" applyAlignment="1">
      <alignment vertical="center"/>
    </xf>
    <xf numFmtId="0" fontId="3" fillId="0" borderId="1" xfId="1" applyFill="1" applyBorder="1" applyAlignment="1">
      <alignment vertical="center"/>
    </xf>
    <xf numFmtId="0" fontId="6" fillId="0" borderId="0" xfId="0" applyFont="1" applyAlignment="1">
      <alignment vertical="center"/>
    </xf>
    <xf numFmtId="0" fontId="7" fillId="0" borderId="0" xfId="0" applyFont="1" applyAlignment="1">
      <alignment vertical="center"/>
    </xf>
    <xf numFmtId="0" fontId="9" fillId="0" borderId="1" xfId="1" applyFont="1" applyFill="1" applyBorder="1" applyAlignment="1">
      <alignment horizontal="center" vertical="center"/>
    </xf>
    <xf numFmtId="0" fontId="11" fillId="0" borderId="1" xfId="1" applyFont="1" applyFill="1" applyBorder="1" applyAlignment="1">
      <alignment vertical="center"/>
    </xf>
    <xf numFmtId="49" fontId="10" fillId="0" borderId="1" xfId="0" applyNumberFormat="1" applyFont="1" applyBorder="1" applyAlignment="1">
      <alignment horizontal="center" vertical="center"/>
    </xf>
    <xf numFmtId="14"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vertical="center" wrapText="1"/>
    </xf>
    <xf numFmtId="49" fontId="10" fillId="0" borderId="1" xfId="0" quotePrefix="1" applyNumberFormat="1" applyFont="1" applyBorder="1" applyAlignment="1">
      <alignment horizontal="center" vertical="center"/>
    </xf>
    <xf numFmtId="0" fontId="9" fillId="0" borderId="1" xfId="0" applyFont="1" applyBorder="1" applyAlignment="1">
      <alignment horizontal="center"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14" fontId="0" fillId="0" borderId="1" xfId="0" applyNumberFormat="1" applyBorder="1" applyAlignment="1">
      <alignment horizontal="center" vertical="center"/>
    </xf>
    <xf numFmtId="0" fontId="10" fillId="0" borderId="1" xfId="0" quotePrefix="1" applyFont="1" applyBorder="1" applyAlignment="1">
      <alignment horizontal="center" vertical="center"/>
    </xf>
    <xf numFmtId="14" fontId="9" fillId="0" borderId="1" xfId="0" applyNumberFormat="1" applyFont="1" applyBorder="1" applyAlignment="1">
      <alignment horizontal="center" vertical="center"/>
    </xf>
    <xf numFmtId="0" fontId="10" fillId="0" borderId="0" xfId="0" applyFont="1" applyAlignment="1">
      <alignment vertical="center"/>
    </xf>
    <xf numFmtId="0" fontId="13" fillId="0" borderId="0" xfId="0" applyFont="1" applyAlignment="1">
      <alignment vertical="center"/>
    </xf>
    <xf numFmtId="0" fontId="10" fillId="3" borderId="1" xfId="0" applyFont="1" applyFill="1" applyBorder="1" applyAlignment="1">
      <alignment horizontal="center" vertical="center"/>
    </xf>
    <xf numFmtId="0" fontId="9" fillId="0" borderId="1" xfId="0" quotePrefix="1" applyFont="1" applyBorder="1" applyAlignment="1">
      <alignment horizontal="center" vertical="center"/>
    </xf>
    <xf numFmtId="0" fontId="9" fillId="3" borderId="1" xfId="0" quotePrefix="1" applyFont="1" applyFill="1" applyBorder="1" applyAlignment="1">
      <alignment horizontal="center" vertical="center"/>
    </xf>
    <xf numFmtId="0" fontId="9" fillId="0" borderId="0" xfId="0" applyFont="1" applyAlignment="1">
      <alignment vertical="center"/>
    </xf>
    <xf numFmtId="14" fontId="10" fillId="0" borderId="1" xfId="0" applyNumberFormat="1" applyFont="1" applyBorder="1" applyAlignment="1">
      <alignment vertical="center" wrapText="1"/>
    </xf>
    <xf numFmtId="0" fontId="10" fillId="0" borderId="0" xfId="0" applyFont="1" applyAlignment="1">
      <alignment horizontal="center" vertical="center"/>
    </xf>
    <xf numFmtId="14" fontId="10" fillId="0" borderId="2" xfId="0" applyNumberFormat="1" applyFont="1" applyBorder="1" applyAlignment="1">
      <alignment vertical="center" wrapText="1"/>
    </xf>
    <xf numFmtId="14" fontId="10" fillId="0" borderId="7" xfId="0" applyNumberFormat="1" applyFont="1" applyBorder="1" applyAlignment="1">
      <alignment horizontal="center" vertical="center"/>
    </xf>
    <xf numFmtId="14" fontId="2" fillId="0" borderId="1" xfId="0" applyNumberFormat="1" applyFont="1" applyBorder="1" applyAlignment="1">
      <alignment horizontal="center" vertical="center"/>
    </xf>
    <xf numFmtId="0" fontId="15" fillId="2" borderId="1" xfId="0" applyFont="1" applyFill="1" applyBorder="1" applyAlignment="1">
      <alignment horizontal="center" vertical="center"/>
    </xf>
    <xf numFmtId="0" fontId="15" fillId="2" borderId="1" xfId="0" applyFont="1" applyFill="1" applyBorder="1" applyAlignment="1">
      <alignment horizontal="center" vertical="center" wrapText="1"/>
    </xf>
    <xf numFmtId="0" fontId="14" fillId="0" borderId="0" xfId="0" applyFont="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14"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1" fillId="0" borderId="1" xfId="0" quotePrefix="1" applyFont="1" applyBorder="1" applyAlignment="1">
      <alignment horizontal="center" vertical="center"/>
    </xf>
    <xf numFmtId="0" fontId="0" fillId="0" borderId="1" xfId="0" applyBorder="1" applyAlignment="1">
      <alignment horizontal="left" vertical="center" wrapText="1"/>
    </xf>
    <xf numFmtId="0" fontId="1" fillId="0" borderId="1" xfId="0" quotePrefix="1" applyFont="1" applyBorder="1" applyAlignment="1">
      <alignment vertical="center" wrapText="1"/>
    </xf>
    <xf numFmtId="0" fontId="11" fillId="0" borderId="1" xfId="1" applyFont="1" applyFill="1" applyBorder="1" applyAlignment="1">
      <alignment vertical="center" wrapText="1"/>
    </xf>
    <xf numFmtId="0" fontId="1" fillId="0" borderId="0" xfId="0" applyFont="1" applyAlignment="1">
      <alignment horizontal="center" vertical="center"/>
    </xf>
    <xf numFmtId="49" fontId="6" fillId="0" borderId="0" xfId="0" applyNumberFormat="1" applyFont="1" applyAlignment="1">
      <alignment vertical="center"/>
    </xf>
    <xf numFmtId="0" fontId="6" fillId="0" borderId="0" xfId="0" applyFont="1" applyAlignment="1">
      <alignment horizontal="center" vertical="center"/>
    </xf>
    <xf numFmtId="0" fontId="6" fillId="0" borderId="0" xfId="0" applyFont="1" applyAlignment="1">
      <alignment horizontal="left" vertical="center" wrapText="1"/>
    </xf>
    <xf numFmtId="0" fontId="14" fillId="0" borderId="1" xfId="0" applyFont="1" applyBorder="1" applyAlignment="1">
      <alignment horizontal="left" vertical="center" wrapText="1"/>
    </xf>
    <xf numFmtId="0" fontId="9" fillId="0" borderId="1" xfId="0" quotePrefix="1" applyFont="1" applyBorder="1" applyAlignment="1">
      <alignment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49" fontId="1" fillId="0" borderId="1" xfId="0" applyNumberFormat="1" applyFont="1" applyBorder="1" applyAlignment="1">
      <alignment horizontal="center" vertical="center"/>
    </xf>
    <xf numFmtId="0" fontId="10" fillId="0" borderId="1" xfId="0" applyFont="1" applyBorder="1" applyAlignment="1">
      <alignment horizontal="left" vertical="center"/>
    </xf>
    <xf numFmtId="0" fontId="1" fillId="0" borderId="1" xfId="0" applyFont="1" applyBorder="1" applyAlignment="1">
      <alignment horizontal="left" vertical="center"/>
    </xf>
    <xf numFmtId="0" fontId="1" fillId="0" borderId="7" xfId="0" applyFont="1" applyBorder="1" applyAlignment="1">
      <alignment vertical="center" wrapText="1"/>
    </xf>
    <xf numFmtId="14" fontId="9" fillId="0" borderId="1" xfId="0" applyNumberFormat="1" applyFont="1" applyBorder="1"/>
    <xf numFmtId="14" fontId="0" fillId="0" borderId="0" xfId="0" applyNumberFormat="1" applyAlignment="1">
      <alignment horizontal="center" vertical="center"/>
    </xf>
    <xf numFmtId="0" fontId="1" fillId="0" borderId="0" xfId="0" applyFont="1" applyAlignment="1">
      <alignment vertical="center" wrapText="1"/>
    </xf>
    <xf numFmtId="0" fontId="1" fillId="0" borderId="0" xfId="0" applyFont="1" applyAlignment="1">
      <alignment wrapText="1"/>
    </xf>
    <xf numFmtId="0" fontId="17" fillId="0" borderId="1" xfId="0" applyFont="1" applyBorder="1" applyAlignment="1">
      <alignment wrapText="1"/>
    </xf>
    <xf numFmtId="0" fontId="3" fillId="0" borderId="0" xfId="1" applyFill="1" applyAlignment="1">
      <alignment vertical="center"/>
    </xf>
    <xf numFmtId="14" fontId="1" fillId="0" borderId="1" xfId="0" applyNumberFormat="1" applyFont="1" applyBorder="1" applyAlignment="1">
      <alignment vertical="center" wrapText="1"/>
    </xf>
    <xf numFmtId="16" fontId="1" fillId="0" borderId="1" xfId="0" quotePrefix="1" applyNumberFormat="1" applyFont="1" applyBorder="1" applyAlignment="1">
      <alignment horizontal="center" vertical="center"/>
    </xf>
    <xf numFmtId="0" fontId="18" fillId="0" borderId="0" xfId="0" applyFont="1" applyAlignment="1">
      <alignment vertical="center"/>
    </xf>
    <xf numFmtId="0" fontId="1" fillId="0" borderId="2" xfId="0" applyFont="1" applyBorder="1" applyAlignment="1">
      <alignment horizontal="center" vertical="center" wrapText="1"/>
    </xf>
    <xf numFmtId="0" fontId="17" fillId="0" borderId="1" xfId="0" applyFont="1" applyBorder="1" applyAlignment="1">
      <alignment horizontal="left" vertical="center" wrapText="1"/>
    </xf>
    <xf numFmtId="14" fontId="1" fillId="0" borderId="4" xfId="0" applyNumberFormat="1" applyFont="1" applyBorder="1" applyAlignment="1">
      <alignment horizontal="center" vertical="center"/>
    </xf>
    <xf numFmtId="0" fontId="1" fillId="0" borderId="8" xfId="0" applyFont="1" applyBorder="1" applyAlignment="1">
      <alignment vertical="center" wrapText="1"/>
    </xf>
    <xf numFmtId="0" fontId="14" fillId="0" borderId="0" xfId="0" applyFont="1"/>
    <xf numFmtId="0" fontId="3" fillId="0" borderId="0" xfId="1" applyAlignment="1">
      <alignment vertical="center" wrapText="1"/>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6" xfId="0" applyFont="1" applyFill="1" applyBorder="1" applyAlignment="1">
      <alignment horizontal="center" vertical="center"/>
    </xf>
    <xf numFmtId="0" fontId="0" fillId="0" borderId="0" xfId="0" applyAlignment="1">
      <alignment wrapText="1"/>
    </xf>
  </cellXfs>
  <cellStyles count="2">
    <cellStyle name="Köprü" xfId="1" builtinId="8"/>
    <cellStyle name="Normal" xfId="0" builtinId="0"/>
  </cellStyles>
  <dxfs count="5">
    <dxf>
      <font>
        <b/>
        <i val="0"/>
        <color rgb="FFFF0000"/>
      </font>
    </dxf>
    <dxf>
      <font>
        <b/>
        <i val="0"/>
        <color rgb="FFFF0000"/>
      </font>
    </dxf>
    <dxf>
      <font>
        <color rgb="FF9C0006"/>
      </font>
      <fill>
        <patternFill>
          <bgColor rgb="FFFFC7CE"/>
        </patternFill>
      </fill>
    </dxf>
    <dxf>
      <font>
        <b/>
        <i val="0"/>
        <color rgb="FFFF0000"/>
      </font>
    </dxf>
    <dxf>
      <font>
        <b/>
        <i val="0"/>
        <color rgb="FFFF0000"/>
      </font>
    </dxf>
  </dxfs>
  <tableStyles count="0" defaultTableStyle="TableStyleMedium2" defaultPivotStyle="PivotStyleLight16"/>
  <colors>
    <mruColors>
      <color rgb="FF005691"/>
      <color rgb="FFFF9F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inay Begum (ManP/QMM1.1)" id="{DA5F3DD9-004C-4337-9FB9-B74CB76DE98A}" userId="S::kib3iz@bosch.com::29e9f7a2-b3f6-404c-b46e-ab260b4aed3e" providerId="AD"/>
</personList>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72" dT="2023-06-01T06:36:04.21" personId="{DA5F3DD9-004C-4337-9FB9-B74CB76DE98A}" id="{28FD8CCB-4E40-4E50-982D-A412213036E4}">
    <text>Görsel kontroller TTVAN127'ye istianden yapılmaktadır. 109 numaralı QMM talimatı detayları netleştirmek adına yaratılmıştır. Proje aşamasında bir çok proje devam etmekte olduğundan taslak talimat ilgili talimat doyasında bulunmaktadır. Projelerin tamamlanması durumunda onaya çıkarılacaktır, proje ekipleri ile devam eden görüşmeler bulunmakatadır.</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DfsTR/DIV/TT/Quality_Management/QM3/QMM/01_Calisma_Talimatlari/QMM1.3_talimatlar&#305;/1_Lab/021_CT_%20QMM3_Plakal&#305;%20E&#351;anj&#246;r%20ve%20Recuperator%20Burst%20Testleri" TargetMode="External"/><Relationship Id="rId21" Type="http://schemas.openxmlformats.org/officeDocument/2006/relationships/hyperlink" Target="../../../../../../../../DfsTR/DIV/TT/Quality_Management/QM3/QMM/01_Calisma_Talimatlari/QMM1.3_talimatlar&#305;/1_Lab/007_CT_QMM3_Paslanmaz%20Esanjor%20Yolma%20Testi" TargetMode="External"/><Relationship Id="rId42" Type="http://schemas.openxmlformats.org/officeDocument/2006/relationships/hyperlink" Target="../../../../../../../../DfsTR/DIV/TT/Quality_Management/QM3/QMM/01_Calisma_Talimatlari/QMM1.3_talimatlar&#305;/2_Kalibrasyon/076_CT_QMM3_Torkmetre%20Kalibrat&#246;r&#252;%20Kullunum%20Talimat&#305;" TargetMode="External"/><Relationship Id="rId47" Type="http://schemas.openxmlformats.org/officeDocument/2006/relationships/hyperlink" Target="../../../../../../../../DfsTR/DIV/TT/Quality_Management/QM3/QMM/01_Calisma_Talimatlari/QMM1.3_talimatlar&#305;/2_Kalibrasyon/081_CT_QMM3_Banyo%20Kullan&#305;m%20Talimat&#305;" TargetMode="External"/><Relationship Id="rId63" Type="http://schemas.openxmlformats.org/officeDocument/2006/relationships/hyperlink" Target="../../../../../../../../DfsTR/DIV/TT/Quality_Management/QM3/QMM/01_Calisma_Talimatlari/QMM1.3_talimatlar&#305;/3_Ortak/104_CT_QMM13_Talimat_Guncelleme_ve_Egitim_Takip_Sureci_Talimat&#305;" TargetMode="External"/><Relationship Id="rId68" Type="http://schemas.openxmlformats.org/officeDocument/2006/relationships/hyperlink" Target="../../../../../../../../DfsTR/DIV/TT/Quality_Management/QM3/QMM/01_Calisma_Talimatlari/102_CT_QMM3_Kimyasal_Madde_Muhafaza_Dolab&#305;_Kullan&#305;m_Talimat&#305;" TargetMode="External"/><Relationship Id="rId84" Type="http://schemas.openxmlformats.org/officeDocument/2006/relationships/hyperlink" Target="../../../../../Quality_Management/QM3/QMM/01_Calisma_Talimatlari/QMM7_talimatlari/TTM%20QMM%20Manual" TargetMode="External"/><Relationship Id="rId89" Type="http://schemas.openxmlformats.org/officeDocument/2006/relationships/hyperlink" Target="../QMM1.3_talimatlar&#305;/1_Lab/142_CT_QMM1.3_S-PHE_Kaynak_Kalitesi_Reaksiyon_Plan&#305;" TargetMode="External"/><Relationship Id="rId16" Type="http://schemas.openxmlformats.org/officeDocument/2006/relationships/hyperlink" Target="../../../../../../../../DfsTR/DIV/TT/Quality_Management/QM3/QMM/01_Calisma_Talimatlari/118_CT_QMM9_Gaz_Kacak_Testi" TargetMode="External"/><Relationship Id="rId11" Type="http://schemas.openxmlformats.org/officeDocument/2006/relationships/hyperlink" Target="../../../../../../../../DfsTR/DIV/TT/Quality_Management/QM3/QMM/01_Calisma_Talimatlari/094_CT_QMM9_Z-Test_standi_kullanim_talimati" TargetMode="External"/><Relationship Id="rId32" Type="http://schemas.openxmlformats.org/officeDocument/2006/relationships/hyperlink" Target="../../../../../../../../DfsTR/DIV/TT/Quality_Management/QM3/QMM/01_Calisma_Talimatlari/QMM1.3_talimatlar&#305;/1_Lab/043_CT_QMM3_Numune%20B&#305;rakma%20Alan&#305;" TargetMode="External"/><Relationship Id="rId37" Type="http://schemas.openxmlformats.org/officeDocument/2006/relationships/hyperlink" Target="../../../../../../../../DfsTR/DIV/TT/Quality_Management/QM3/QMM/01_Calisma_Talimatlari/QMM1.3_talimatlar&#305;/3_Ortak/050_CT_QMM3_Planl&#305;%20-%20Plans&#305;z%20Duru&#351;lar%20ve%20Potansiyel%20Hasarlar_&#199;al&#305;&#351;ma%20Talimat&#305;" TargetMode="External"/><Relationship Id="rId53" Type="http://schemas.openxmlformats.org/officeDocument/2006/relationships/hyperlink" Target="../../../../../../../../DfsTR/DIV/TT/Quality_Management/QM3/QMM/01_Calisma_Talimatlari/QMM1.3_talimatlar&#305;/2_Kalibrasyon/091_CT_QMM3_Cihaz_Kontrol%20Stand&#305;%20ve%20Kalibrat&#246;r_Acil%20Durum%20Plan&#305;" TargetMode="External"/><Relationship Id="rId58" Type="http://schemas.openxmlformats.org/officeDocument/2006/relationships/hyperlink" Target="../../../../../../../../DfsTR/DIV/TT/Quality_Management/QM3/QMM/01_Calisma_Talimatlari/060_CT_QMM1_yuksek_gerilim" TargetMode="External"/><Relationship Id="rId74" Type="http://schemas.openxmlformats.org/officeDocument/2006/relationships/hyperlink" Target="../../../../../../../../DfsTR/DIV/TT/Quality_Management/QM3/QMM/01_Calisma_Talimatlari/QMM1.3_talimatlar&#305;/1_Lab/011_CT_QMM3_Brenner%20Lightback%20Testi" TargetMode="External"/><Relationship Id="rId79" Type="http://schemas.openxmlformats.org/officeDocument/2006/relationships/hyperlink" Target="..\..\..\..\..\..\..\..\DfsTR\DIV\TT\Quality_Management\QM3\QMM\01_Calisma_Talimatlari\QMM1.3_talimatlar&#305;\1_Lab\038_CT_QMM3_&#220;r&#252;n_Kontrol_Talimat&#305;" TargetMode="External"/><Relationship Id="rId5" Type="http://schemas.openxmlformats.org/officeDocument/2006/relationships/hyperlink" Target="../../../../../../../../DfsTR/DIV/TT/Quality_Management/QM3/QMM/01_Calisma_Talimatlari/069_CT_QMM9_S&#305;zd&#305;rmazl&#305;k%20Test%20Stand&#305;" TargetMode="External"/><Relationship Id="rId90" Type="http://schemas.openxmlformats.org/officeDocument/2006/relationships/hyperlink" Target="../QMM1.3_talimatlar&#305;/1_Lab/143_CT_%20QMM1.3_Stud-bolt_Test_Rig_&#199;al&#305;&#351;t&#305;rma_Talimat&#305;" TargetMode="External"/><Relationship Id="rId95" Type="http://schemas.microsoft.com/office/2017/10/relationships/threadedComment" Target="../threadedComments/threadedComment1.xml"/><Relationship Id="rId22" Type="http://schemas.openxmlformats.org/officeDocument/2006/relationships/hyperlink" Target="../../../../../../../../DfsTR/DIV/TT/Quality_Management/QM3/QMM/01_Calisma_Talimatlari/QMM1.3_talimatlar&#305;/2_Kalibrasyon/016_CT_QMM3_Ortam_S&#305;._&#214;l&#231;&#252;m_Belr._Etkisi" TargetMode="External"/><Relationship Id="rId27" Type="http://schemas.openxmlformats.org/officeDocument/2006/relationships/hyperlink" Target="../../../../../../../../DfsTR/DIV/TT/Quality_Management/QM3/QMM/01_Calisma_Talimatlari/QMM1.3_talimatlar&#305;/1_Lab/028_CT_QMM3_C-PHE_Fonksiyon_Testi" TargetMode="External"/><Relationship Id="rId43" Type="http://schemas.openxmlformats.org/officeDocument/2006/relationships/hyperlink" Target="../../../../../../../../DfsTR/DIV/TT/Quality_Management/QM3/QMM/01_Calisma_Talimatlari/QMM1.3_talimatlar&#305;/2_Kalibrasyon/077_CT_QMM3_ATEQ%20S&#305;zd&#305;rmazl&#305;k%20Kalibrat&#246;r&#252;%20Kullan&#305;m%20Talimat&#305;" TargetMode="External"/><Relationship Id="rId48" Type="http://schemas.openxmlformats.org/officeDocument/2006/relationships/hyperlink" Target="../../../../../../../../DfsTR/DIV/TT/Quality_Management/QM3/QMM/01_Calisma_Talimatlari/QMM1.3_talimatlar&#305;/2_Kalibrasyon/083_CT_QMM3_Hava%20debisi%20Kalibrat&#246;r&#252;%20Kullan&#305;m%20Talimat&#305;" TargetMode="External"/><Relationship Id="rId64" Type="http://schemas.openxmlformats.org/officeDocument/2006/relationships/hyperlink" Target="../../../../../../../../DfsTR/DIV/TT/Quality_Management/QM3/QMM/01_Calisma_Talimatlari/108_CT_QMM1_T&#252;p_barakas&#305;_kullan&#305;m_talimat&#305;" TargetMode="External"/><Relationship Id="rId69" Type="http://schemas.openxmlformats.org/officeDocument/2006/relationships/hyperlink" Target="../../../../../../../../DfsTR/DIV/TT/Quality_Management/QM3/QMM/01_Calisma_Talimatlari/115_CT_QMM1_Planl&#305;_plans&#305;z_duruslar" TargetMode="External"/><Relationship Id="rId8" Type="http://schemas.openxmlformats.org/officeDocument/2006/relationships/hyperlink" Target="../../../../../../../../DfsTR/DIV/TT/Quality_Management/QM3/QMM/01_Calisma_Talimatlari/073_CT_QMM9_S3%20Test%20Stand&#305;" TargetMode="External"/><Relationship Id="rId51" Type="http://schemas.openxmlformats.org/officeDocument/2006/relationships/hyperlink" Target="../../../../../../../../DfsTR/DIV/TT/Quality_Management/QM3/QMM/01_Calisma_Talimatlari/QMM1.3_talimatlar&#305;/2_Kalibrasyon/086_CT_QMM3_Bas&#305;n&#231;%20Kalibrasyonu%20Talimat&#305;" TargetMode="External"/><Relationship Id="rId72" Type="http://schemas.openxmlformats.org/officeDocument/2006/relationships/hyperlink" Target="../../../../../Quality_Management/QM3/QMM/01_Calisma_Talimatlari/QMM7_talimatlari/QG_Moderator_Manual" TargetMode="External"/><Relationship Id="rId80" Type="http://schemas.openxmlformats.org/officeDocument/2006/relationships/hyperlink" Target="../../../../../Quality_Management/QM3/QMM/01_Calisma_Talimatlari/QMM7_talimatlari/Konfirmasyon" TargetMode="External"/><Relationship Id="rId85" Type="http://schemas.openxmlformats.org/officeDocument/2006/relationships/hyperlink" Target="..\027_CT_QMM9_Musteri_Iadeleri\027_CT_QMM9_Musteri_iadeleri_calisma_talimati.pdf" TargetMode="External"/><Relationship Id="rId93" Type="http://schemas.openxmlformats.org/officeDocument/2006/relationships/vmlDrawing" Target="../drawings/vmlDrawing1.vml"/><Relationship Id="rId3" Type="http://schemas.openxmlformats.org/officeDocument/2006/relationships/hyperlink" Target="../../../../../../../../DfsTR/DIV/TT/Quality_Management/QM3/QMM/01_Calisma_Talimatlari/107_CT_QMM_B&#246;l&#252;m_Stajyerleri_&#304;&#351;_Talimati" TargetMode="External"/><Relationship Id="rId12" Type="http://schemas.openxmlformats.org/officeDocument/2006/relationships/hyperlink" Target="../096_CT_QMM9_Test_stand&#305;_t&#252;p_de&#287;i&#351;im_talimat&#305;/Versiyon%202.0" TargetMode="External"/><Relationship Id="rId17" Type="http://schemas.openxmlformats.org/officeDocument/2006/relationships/hyperlink" Target="..\..\..\..\..\..\..\..\DfsTR\DIV\TT\Quality_Management\QM3\QMM\01_Calisma_Talimatlari\119_CT_QMM9_Toplam_Devreye_Alma_Talimat&#305;" TargetMode="External"/><Relationship Id="rId25" Type="http://schemas.openxmlformats.org/officeDocument/2006/relationships/hyperlink" Target="../../../../../../../../DfsTR/DIV/TT/Quality_Management/QM3/QMM/01_Calisma_Talimatlari/QMM1.3_talimatlar&#305;/1_Lab/020_CT_QMM3_3%20Boyutlu%20&#214;l&#231;&#252;m%20Cihaz&#305;" TargetMode="External"/><Relationship Id="rId33" Type="http://schemas.openxmlformats.org/officeDocument/2006/relationships/hyperlink" Target="../../../../../../../../DfsTR/DIV/TT/Quality_Management/QM3/QMM/01_Calisma_Talimatlari/044_CT_QMM1-3_2%20Boyutlu%20(Tesa%20Mihengir%20)%20&#246;l&#231;&#252;m%20cihazi%20kullanma%20talimat&#305;" TargetMode="External"/><Relationship Id="rId38" Type="http://schemas.openxmlformats.org/officeDocument/2006/relationships/hyperlink" Target="../../../../../../../../DfsTR/DIV/TT/Quality_Management/QM3/QMM/01_Calisma_Talimatlari/QMM1.3_talimatlar&#305;/3_Ortak/051_CT_QMM3_ECR%20onay&#305;" TargetMode="External"/><Relationship Id="rId46" Type="http://schemas.openxmlformats.org/officeDocument/2006/relationships/hyperlink" Target="../../../../../../../../DfsTR/DIV/TT/Quality_Management/QM3/QMM/01_Calisma_Talimatlari/QMM1.3_talimatlar&#305;/2_Kalibrasyon/080_CT_QMM3_Gaz%20Saati%20Kalibrat&#246;r&#252;%20Kullan&#305;m%20Talimat&#305;" TargetMode="External"/><Relationship Id="rId59" Type="http://schemas.openxmlformats.org/officeDocument/2006/relationships/hyperlink" Target="../../../../../../../../DfsTR/DIV/TT/Quality_Management/QM3/QMM/01_Calisma_Talimatlari/064_CT_QMM1_Urun_Tetkiki" TargetMode="External"/><Relationship Id="rId67" Type="http://schemas.openxmlformats.org/officeDocument/2006/relationships/hyperlink" Target="../../../../../../../../DfsTR/DIV/TT/Quality_Management/QM3/QMM/01_Calisma_Talimatlari/113-QMM1.1_ZFER_ZHAL_HAWA_Serbestli&#287;i_Talimat&#305;" TargetMode="External"/><Relationship Id="rId20" Type="http://schemas.openxmlformats.org/officeDocument/2006/relationships/hyperlink" Target="../../../../../../../../DfsTR/DIV/TT/Quality_Management/QM3/QMM/01_Calisma_Talimatlari/QMM1.3_talimatlar&#305;/2_Kalibrasyon/006_CT_QMM3_&#214;lc&#252;m_Alet_ve_Cihaz&#305;_Yeterlili&#287;i" TargetMode="External"/><Relationship Id="rId41" Type="http://schemas.openxmlformats.org/officeDocument/2006/relationships/hyperlink" Target="..\..\..\..\..\..\..\..\DfsTR\DIV\TT\Quality_Management\QM3\QMM\01_Calisma_Talimatlari\QMM1.3_talimatlar&#305;\1_Lab\075_CT_QMM3-C-PHE%20Bas&#305;n&#231;%20D&#252;&#351;&#252;m&#252;%20Testi" TargetMode="External"/><Relationship Id="rId54" Type="http://schemas.openxmlformats.org/officeDocument/2006/relationships/hyperlink" Target="../../../../../../../../DfsTR/DIV/TT/Quality_Management/QM3/QMM/01_Calisma_Talimatlari/032_CT_QMM1.1_Boyali_Prc_Z_Test" TargetMode="External"/><Relationship Id="rId62" Type="http://schemas.openxmlformats.org/officeDocument/2006/relationships/hyperlink" Target="../../../../../../../../DfsTR/DIV/TT/Quality_Management/QM3/QMM/01_Calisma_Talimatlari/QMM1.3_talimatlar&#305;/1_Lab/105_CT_QMM3_C-PHE_Test_Template_Panel_Talimat&#305;" TargetMode="External"/><Relationship Id="rId70" Type="http://schemas.openxmlformats.org/officeDocument/2006/relationships/hyperlink" Target="../../../../../../../../DfsTR/DIV/TT/Quality_Management/QM3/QMM/01_Calisma_Talimatlari/QMM1.3_talimatlar&#305;/2_Kalibrasyon/114_CT_QMM1.3_AHP%20Kullanma%20talimat&#305;" TargetMode="External"/><Relationship Id="rId75" Type="http://schemas.openxmlformats.org/officeDocument/2006/relationships/hyperlink" Target="..\..\..\..\..\..\..\..\DfsTR\DIV\TT\Quality_Management\QM3\QMM\01_Calisma_Talimatlari\QMM1.3_talimatlar&#305;\1_Lab\098_CT_QMM3_Hexagon_Inspector_Kullan&#305;m_Talimat&#305;" TargetMode="External"/><Relationship Id="rId83" Type="http://schemas.openxmlformats.org/officeDocument/2006/relationships/hyperlink" Target="javascript:WorkON.Util.downloadCfAttachFile(14564113,18702084,'069_CT_QMM9_S%C4%B1zd%C4%B1rmazl%C4%B1k_Test_stand%C4%B1_ver2.1.docx','READY')" TargetMode="External"/><Relationship Id="rId88" Type="http://schemas.openxmlformats.org/officeDocument/2006/relationships/hyperlink" Target="../../../../../../../../DfsTR/DIV/TT/Quality_Management/QM3/QMM/01_Calisma_Talimatlari/QMM1.3_talimatlar&#305;/1_Lab/052_CT_QMM3_Recuprerator%20CMM%20&#246;l&#231;&#252;m%20talimat&#305;" TargetMode="External"/><Relationship Id="rId91" Type="http://schemas.openxmlformats.org/officeDocument/2006/relationships/printerSettings" Target="../printerSettings/printerSettings1.bin"/><Relationship Id="rId1" Type="http://schemas.openxmlformats.org/officeDocument/2006/relationships/hyperlink" Target="../../../../../../../../DfsTR/DIV/TT/Quality_Management/QM3/QMM/01_Calisma_Talimatlari/002_CT_QMM9_Musteri_Sikayeti_Kanallari_ve_Yonetimi" TargetMode="External"/><Relationship Id="rId6" Type="http://schemas.openxmlformats.org/officeDocument/2006/relationships/hyperlink" Target="..\..\..\..\..\..\..\..\DfsTR\DIV\TT\Quality_Management\QM3\QMM\01_Calisma_Talimatlari\070_CT_QMM9_Kontrol%20Stand&#305;%20Test%20Cihaz&#305;%20ve%20Aparat%20Acil%20durum%20Reaksiyon%20Plan&#305;" TargetMode="External"/><Relationship Id="rId15" Type="http://schemas.openxmlformats.org/officeDocument/2006/relationships/hyperlink" Target="../../../../../../../../DfsTR/DIV/TT/Quality_Management/QM3/QMM/01_Calisma_Talimatlari/117_CT_QMM9_CCS_Test_Talimat&#305;" TargetMode="External"/><Relationship Id="rId23" Type="http://schemas.openxmlformats.org/officeDocument/2006/relationships/hyperlink" Target="../../../../../../../../DfsTR/DIV/TT/Quality_Management/QM3/QMM/01_Calisma_Talimatlari/017_CT_QMM_SAP%20Acil%20Durum%20Plan&#305;%20(Contingency%20Plan)" TargetMode="External"/><Relationship Id="rId28" Type="http://schemas.openxmlformats.org/officeDocument/2006/relationships/hyperlink" Target="../../../../../../../../DfsTR/DIV/TT/Quality_Management/QM3/QMM/01_Calisma_Talimatlari/QMM1.3_talimatlar&#305;/2_Kalibrasyon/029_CT_QMM3_Kalibrasyon%20Firma%20Standartalar&#305;%20Kabul%20Kriterleri" TargetMode="External"/><Relationship Id="rId36" Type="http://schemas.openxmlformats.org/officeDocument/2006/relationships/hyperlink" Target="../../../../../../../../DfsTR/DIV/TT/Quality_Management/QM3/QMM/01_Calisma_Talimatlari/QMM1.3_talimatlar&#305;/1_Lab/048_CT_QMM3_Procella%20data%20giri&#351;i" TargetMode="External"/><Relationship Id="rId49" Type="http://schemas.openxmlformats.org/officeDocument/2006/relationships/hyperlink" Target="..\..\..\..\..\..\..\..\DfsTR\DIV\TT\Quality_Management\QM3\QMM\01_Calisma_Talimatlari\QMM1.3_talimatlar&#305;\2_Kalibrasyon\084_CT_QMM3_Su%20debisi%20Kalibrat&#246;r&#252;%20Kullan&#305;m%20Talimat&#305;" TargetMode="External"/><Relationship Id="rId57" Type="http://schemas.openxmlformats.org/officeDocument/2006/relationships/hyperlink" Target="../../../../../../../../DfsTR/DIV/TT/Quality_Management/QM3/QMM/01_Calisma_Talimatlari/059_CT_QMM1_gazkacak_test" TargetMode="External"/><Relationship Id="rId10" Type="http://schemas.openxmlformats.org/officeDocument/2006/relationships/hyperlink" Target="../../../../../../../../DfsTR/DIV/TT/Quality_Management/QM3/QMM/01_Calisma_Talimatlari/090_CT_QMM9_Acil_Durum_Plan&#305;" TargetMode="External"/><Relationship Id="rId31" Type="http://schemas.openxmlformats.org/officeDocument/2006/relationships/hyperlink" Target="../../../../../../../../DfsTR/DIV/TT/Quality_Management/QM3/QMM/01_Calisma_Talimatlari/041_CT_QMM1.1_Cihaz_Kontrol%20Stand&#305;%20ve%20Kalibrat&#246;r_Acil%20Durum%20Plan&#305;" TargetMode="External"/><Relationship Id="rId44" Type="http://schemas.openxmlformats.org/officeDocument/2006/relationships/hyperlink" Target="../../../../../../../../DfsTR/DIV/TT/Quality_Management/QM3/QMM/01_Calisma_Talimatlari/QMM1.3_talimatlar&#305;/2_Kalibrasyon/078_CT_QMM3_Diren&#231;%20Kalibrat&#246;r&#252;%20Kullan&#305;m%20Talimat&#305;" TargetMode="External"/><Relationship Id="rId52" Type="http://schemas.openxmlformats.org/officeDocument/2006/relationships/hyperlink" Target="../../../../../../../../DfsTR/DIV/TT/Quality_Management/QM3/QMM/01_Calisma_Talimatlari/QMM1.3_talimatlar&#305;/1_Lab/088_CT_QMM3_3%20Boyutlu%20&#214;l&#231;&#252;m%20Cihaz&#305;%20ile%20Water%20Jacket%20&#214;l&#231;&#252;m&#252;%20Talimat&#305;" TargetMode="External"/><Relationship Id="rId60" Type="http://schemas.openxmlformats.org/officeDocument/2006/relationships/hyperlink" Target="../../../../../../../../DfsTR/DIV/TT/Quality_Management/QM3/QMM/01_Calisma_Talimatlari/092_CT_QMM1_Lab_Genel_Calisma_Talimati" TargetMode="External"/><Relationship Id="rId65" Type="http://schemas.openxmlformats.org/officeDocument/2006/relationships/hyperlink" Target="../../../../../../../../DfsTR/DIV/TT/Quality_Management/QM3/QMM/01_Calisma_Talimatlari/109_CT_QMM1.1_G&#246;rsel_Hatalar_Kabul_Kriterleri_talimat&#305;" TargetMode="External"/><Relationship Id="rId73" Type="http://schemas.openxmlformats.org/officeDocument/2006/relationships/hyperlink" Target="../../../../../../../../DfsTR/DIV/TT/Quality_Management/QM3/QMM/01_Calisma_Talimatlari/100_CT_QMM1_Rapor_Olu&#351;turma_ve_Kay&#305;t_Talimat&#305;" TargetMode="External"/><Relationship Id="rId78" Type="http://schemas.openxmlformats.org/officeDocument/2006/relationships/hyperlink" Target="../../../../../../../../DfsTR/DIV/TT/Quality_Management/QM3/QMM/01_Calisma_Talimatlari/089_CT_QMM9_Komponent%20ve%20Kombi%20Hurdalama" TargetMode="External"/><Relationship Id="rId81" Type="http://schemas.openxmlformats.org/officeDocument/2006/relationships/hyperlink" Target="..\139_CT_QMM9_Online_Sat&#305;&#351;_&#304;ade_&#220;r&#252;nlerin_Kontrol&#252;" TargetMode="External"/><Relationship Id="rId86" Type="http://schemas.openxmlformats.org/officeDocument/2006/relationships/hyperlink" Target="../QMM1.3_talimatlar&#305;/1_Lab/141_CT_QMM1.3_Keskin_Kenar_Kontrol_Aparat&#305;_Kullan&#305;m_Talimat&#305;" TargetMode="External"/><Relationship Id="rId94" Type="http://schemas.openxmlformats.org/officeDocument/2006/relationships/comments" Target="../comments1.xml"/><Relationship Id="rId4" Type="http://schemas.openxmlformats.org/officeDocument/2006/relationships/hyperlink" Target="..\..\..\..\..\..\..\..\DfsTR\DIV\TT\Quality_Management\QM3\QMM\01_Calisma_Talimatlari\110_CT_QMM9_Komponent_calisma_talimati" TargetMode="External"/><Relationship Id="rId9" Type="http://schemas.openxmlformats.org/officeDocument/2006/relationships/hyperlink" Target="..\074_CT_QMM9_Malzeme_Tan&#305;mlama" TargetMode="External"/><Relationship Id="rId13" Type="http://schemas.openxmlformats.org/officeDocument/2006/relationships/hyperlink" Target="../103_CT_QMM9_Kombi_Kald&#305;rma_Aparat&#305;_kullan&#305;m_talimat&#305;" TargetMode="External"/><Relationship Id="rId18" Type="http://schemas.openxmlformats.org/officeDocument/2006/relationships/hyperlink" Target="..\..\..\..\..\..\..\..\DfsTR\DIV\TT\Quality_Management\QM3\QMM\01_Calisma_Talimatlari\120_CT_QMM9_Y&#252;ksek_Gerilim_Test-SG_Karakteristik" TargetMode="External"/><Relationship Id="rId39" Type="http://schemas.openxmlformats.org/officeDocument/2006/relationships/hyperlink" Target="../../../../../../../../DfsTR/DIV/TT/Quality_Management/QM3/QMM/01_Calisma_Talimatlari/QMM1.3_talimatlar&#305;/1_Lab/055_CT_QMM3%20Proses%20Kontrol" TargetMode="External"/><Relationship Id="rId34" Type="http://schemas.openxmlformats.org/officeDocument/2006/relationships/hyperlink" Target="../../../../../../../../DfsTR/DIV/TT/Quality_Management/QM3/QMM/01_Calisma_Talimatlari/QMM1.3_talimatlar&#305;/1_Lab/045_CT_QMM3_Water%20Hammer%20Test%20Stand&#305;" TargetMode="External"/><Relationship Id="rId50" Type="http://schemas.openxmlformats.org/officeDocument/2006/relationships/hyperlink" Target="../../../../../../../../DfsTR/DIV/TT/Quality_Management/QM3/QMM/01_Calisma_Talimatlari/QMM1.3_talimatlar&#305;/2_Kalibrasyon/085_CT_QMM3_Multimetre%20Kullan&#305;m%20Talimat&#305;" TargetMode="External"/><Relationship Id="rId55" Type="http://schemas.openxmlformats.org/officeDocument/2006/relationships/hyperlink" Target="../../../../../../../../DfsTR/DIV/TT/Quality_Management/QM3/QMM/01_Calisma_Talimatlari/057_CT_QMM1_Atikgaz_kont" TargetMode="External"/><Relationship Id="rId76" Type="http://schemas.openxmlformats.org/officeDocument/2006/relationships/hyperlink" Target="../../../../../../../../DfsTR/DIV/TT/Quality_Management/QM3/QMM/01_Calisma_Talimatlari/QMM1.3_talimatlar&#305;/3_Ortak/101_CT_QMM3_Uygunsuzluk_Numunesi_Saklama_Talimat&#305;" TargetMode="External"/><Relationship Id="rId7" Type="http://schemas.openxmlformats.org/officeDocument/2006/relationships/hyperlink" Target="../../../../../../../../DfsTR/DIV/TT/Quality_Management/QM3/QMM/01_Calisma_Talimatlari/072_CT_QMM9_S1&amp;S2%20Test%20Stand&#305;" TargetMode="External"/><Relationship Id="rId71" Type="http://schemas.openxmlformats.org/officeDocument/2006/relationships/hyperlink" Target="..\140_CT_QMM9_TR_Servis_Karnesi_E-Mail_Otomasyonu_&#199;al&#305;&#351;t&#305;rma_Talimat&#305;\140_CT_QMM9_TR_Servis_Karnesi_E-Mail_Otomasyonu_&#199;al&#305;&#351;t&#305;rma_Talimat&#305;.docx" TargetMode="External"/><Relationship Id="rId92" Type="http://schemas.openxmlformats.org/officeDocument/2006/relationships/customProperty" Target="../customProperty1.bin"/><Relationship Id="rId2" Type="http://schemas.openxmlformats.org/officeDocument/2006/relationships/hyperlink" Target="../../../../../../../../DfsTR/DIV/TT/Quality_Management/QM3/QMM/01_Calisma_Talimatlari/061_CT_QMM9_Guvenilirlik_Testi" TargetMode="External"/><Relationship Id="rId29" Type="http://schemas.openxmlformats.org/officeDocument/2006/relationships/hyperlink" Target="../../../../../../../../DfsTR/DIV/TT/Quality_Management/QM3/QMM/01_Calisma_Talimatlari/QMM1.3_talimatlar&#305;/2_Kalibrasyon/037_CT_QMM3_Kalibrat&#246;r%20Acil%20Durum%20Plan&#305;" TargetMode="External"/><Relationship Id="rId24" Type="http://schemas.openxmlformats.org/officeDocument/2006/relationships/hyperlink" Target="../../../../../../../../DfsTR/DIV/TT/Quality_Management/QM3/QMM/01_Calisma_Talimatlari/019_CT_QMM_TTTR_J&#305;doka_Aplication" TargetMode="External"/><Relationship Id="rId40" Type="http://schemas.openxmlformats.org/officeDocument/2006/relationships/hyperlink" Target="../../../../../../../../DfsTR/DIV/TT/Quality_Management/QM3/QMM/01_Calisma_Talimatlari/QMM1.3_talimatlar&#305;/1_Lab/056_CT_QMM1.3_Water%20Hammer_Testi_Reaksiyon_Plan&#305;" TargetMode="External"/><Relationship Id="rId45" Type="http://schemas.openxmlformats.org/officeDocument/2006/relationships/hyperlink" Target="../../../../../../../../DfsTR/DIV/TT/Quality_Management/QM3/QMM/01_Calisma_Talimatlari/QMM1.3_talimatlar&#305;/2_Kalibrasyon/079_CT_QMM3_multimetre%20kalibrat&#246;r&#252;%20kullan&#305;m%20talimat&#305;" TargetMode="External"/><Relationship Id="rId66" Type="http://schemas.openxmlformats.org/officeDocument/2006/relationships/hyperlink" Target="../../../../../../../../DfsTR/DIV/TT/Quality_Management/QM3/QMM/01_Calisma_Talimatlari/112_CT_QMM1.1_Yedek_Parca_ACPHCM_ISIR_Talimat&#305;" TargetMode="External"/><Relationship Id="rId87" Type="http://schemas.openxmlformats.org/officeDocument/2006/relationships/hyperlink" Target="../../../../../../../../DfsTR/DIV/TT/Quality_Management/QM3/QMM/01_Calisma_Talimatlari/QMM1.3_talimatlar&#305;/1_Lab/053_CT_QMM3_Recuperator%20bas&#305;n&#231;%20d&#252;&#351;&#252;m&#252;%20&#246;l&#231;&#252;m%20talimat&#305;" TargetMode="External"/><Relationship Id="rId61" Type="http://schemas.openxmlformats.org/officeDocument/2006/relationships/hyperlink" Target="../../../../../../../../DfsTR/DIV/TT/Quality_Management/QM3/QMM/01_Calisma_Talimatlari/QMM1.3_talimatlar&#305;/1_Lab/093_CT_QMM3_Hexagon%20Inspector%20Do&#287;rulama%20Talimat&#305;" TargetMode="External"/><Relationship Id="rId82" Type="http://schemas.openxmlformats.org/officeDocument/2006/relationships/hyperlink" Target="..\138_CT_QMM9_Ek_&#304;&#351;_&#199;al&#305;sma_Talimat&#305;" TargetMode="External"/><Relationship Id="rId19" Type="http://schemas.openxmlformats.org/officeDocument/2006/relationships/hyperlink" Target="..\..\..\..\..\..\..\..\DfsTR\DIV\TT\Quality_Management\QM3\QMM\01_Calisma_Talimatlari\QMM1.3_talimatlar&#305;\2_Kalibrasyon\003_CT_QMM3_D&#305;s_Firma_Kalibrasyonu" TargetMode="External"/><Relationship Id="rId14" Type="http://schemas.openxmlformats.org/officeDocument/2006/relationships/hyperlink" Target="../../../../../../../../DfsTR/DIV/TT/Quality_Management/QM3/QMM/01_Calisma_Talimatlari/116_CT_QMM9_Field_Fix_S&#252;reci" TargetMode="External"/><Relationship Id="rId30" Type="http://schemas.openxmlformats.org/officeDocument/2006/relationships/hyperlink" Target="../../../../../../../../DfsTR/DIV/TT/Quality_Management/QM3/QMM/01_Calisma_Talimatlari/QMM1.3_talimatlar&#305;/1_Lab/039_CT_QMM3_C-PHE_Plakal&#305;%20e&#351;anj&#246;r%20CMM%20&#246;l&#231;&#252;m%20talimat&#305;" TargetMode="External"/><Relationship Id="rId35" Type="http://schemas.openxmlformats.org/officeDocument/2006/relationships/hyperlink" Target="../../../../../../../../DfsTR/DIV/TT/Quality_Management/QM3/QMM/01_Calisma_Talimatlari/QMM1.3_talimatlar&#305;/1_Lab/047_CT_QMM13_TPM_Sureci" TargetMode="External"/><Relationship Id="rId56" Type="http://schemas.openxmlformats.org/officeDocument/2006/relationships/hyperlink" Target="../../../../../../../../DfsTR/DIV/TT/Quality_Management/QM3/QMM/01_Calisma_Talimatlari/058_CT_QMM1_CCS_test_kont" TargetMode="External"/><Relationship Id="rId77" Type="http://schemas.openxmlformats.org/officeDocument/2006/relationships/hyperlink" Target="..\..\..\..\..\..\..\..\DfsTR\DIV\TT\Quality_Management\QM3\QMM\01_Calisma_Talimatlari\QMM1.3_talimatlar&#305;\2_Kalibrasyon\0134_CT_QMM1.3_&#214;l&#231;&#252;m%20Belirsizli&#287;i%20Hesaplama%20Talimat&#305;\0134_CT_QMM1.3_&#214;l&#231;&#252;m%20Belirsizli&#287;i%20Hesaplama%20Talimat&#305;.doc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DfsTR/DIV/TT/Quality_Management/QM3/QMM/01_Calisma_Talimatlari/QMM1.3_talimatlar&#305;/1_Lab/052_CT_QMM3_Recuprerator%20CMM%20&#246;l&#231;&#252;m%20talimat&#305;" TargetMode="External"/><Relationship Id="rId3" Type="http://schemas.openxmlformats.org/officeDocument/2006/relationships/hyperlink" Target="..\QMM1.3_talimatlar&#305;\3_Ortak\004_QMM1.3_&#304;lk%20Numune_Kontrol&#252;nde_(ISIR)_Kal&#305;p_Kaynakl&#305;_&#214;zel_Sapma_Durumlar&#305;" TargetMode="External"/><Relationship Id="rId7" Type="http://schemas.openxmlformats.org/officeDocument/2006/relationships/hyperlink" Target="../../../../../../../../DfsTR/DIV/TT/Quality_Management/QM3/QMM/01_Calisma_Talimatlari/QMM1.3_talimatlar&#305;/1_Lab/053_CT_QMM3_Recuperator%20bas&#305;n&#231;%20d&#252;&#351;&#252;m&#252;%20&#246;l&#231;&#252;m%20talimat&#305;" TargetMode="External"/><Relationship Id="rId12" Type="http://schemas.openxmlformats.org/officeDocument/2006/relationships/comments" Target="../comments2.xml"/><Relationship Id="rId2" Type="http://schemas.openxmlformats.org/officeDocument/2006/relationships/hyperlink" Target="..\063_CT_QMM1_Cam_Yapistirma_Prosesi_Ara_Kontrol_Talimati" TargetMode="External"/><Relationship Id="rId1" Type="http://schemas.openxmlformats.org/officeDocument/2006/relationships/hyperlink" Target="../071_CT_QMM9_TopDESK_H&#305;zl&#305;_Reaksiyon_&#199;al&#305;&#351;ma_Talimat&#305;" TargetMode="External"/><Relationship Id="rId6" Type="http://schemas.openxmlformats.org/officeDocument/2006/relationships/hyperlink" Target="../../../../../../../../DfsTR/DIV/TT/Quality_Management/QM3/QMM/01_Calisma_Talimatlari/035_CT_QMM9_Almanya_Market_Iadeleri" TargetMode="External"/><Relationship Id="rId11" Type="http://schemas.openxmlformats.org/officeDocument/2006/relationships/vmlDrawing" Target="../drawings/vmlDrawing2.vml"/><Relationship Id="rId5" Type="http://schemas.openxmlformats.org/officeDocument/2006/relationships/hyperlink" Target="..\QMM1.3_talimatlar&#305;\2_Kalibrasyon\036_CT_QMM1.3%20Akredite%20Kalibrasyon%20&#350;irketleri" TargetMode="External"/><Relationship Id="rId10" Type="http://schemas.openxmlformats.org/officeDocument/2006/relationships/customProperty" Target="../customProperty2.bin"/><Relationship Id="rId4" Type="http://schemas.openxmlformats.org/officeDocument/2006/relationships/hyperlink" Target="..\QMM1.3_talimatlar&#305;\2_Kalibrasyon\036_CT_QMM1.3%20Akredite%20Kalibrasyon%20&#350;irketleri" TargetMode="Externa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ayfa1"/>
  <dimension ref="A1:I107"/>
  <sheetViews>
    <sheetView tabSelected="1" zoomScale="85" zoomScaleNormal="85" workbookViewId="0">
      <pane ySplit="2" topLeftCell="A54" activePane="bottomLeft" state="frozen"/>
      <selection pane="bottomLeft" activeCell="C56" sqref="C56"/>
    </sheetView>
  </sheetViews>
  <sheetFormatPr defaultColWidth="9.1796875" defaultRowHeight="12.5" x14ac:dyDescent="0.25"/>
  <cols>
    <col min="1" max="1" width="14.81640625" style="3" customWidth="1"/>
    <col min="2" max="2" width="59.26953125" style="3" customWidth="1"/>
    <col min="3" max="3" width="9.81640625" style="40" customWidth="1"/>
    <col min="4" max="4" width="11" style="41" customWidth="1"/>
    <col min="5" max="5" width="11.54296875" style="3" customWidth="1"/>
    <col min="6" max="6" width="16.54296875" style="42" customWidth="1"/>
    <col min="7" max="7" width="45.453125" style="43" customWidth="1"/>
    <col min="8" max="8" width="17.453125" style="3" customWidth="1"/>
    <col min="9" max="9" width="11.54296875" style="3" customWidth="1"/>
    <col min="10" max="16384" width="9.1796875" style="3"/>
  </cols>
  <sheetData>
    <row r="1" spans="2:9" s="4" customFormat="1" ht="28.75" customHeight="1" x14ac:dyDescent="0.25">
      <c r="B1" s="67" t="s">
        <v>273</v>
      </c>
      <c r="C1" s="68"/>
      <c r="D1" s="68"/>
      <c r="E1" s="68"/>
      <c r="F1" s="68"/>
      <c r="G1" s="68"/>
      <c r="H1" s="68"/>
      <c r="I1" s="69"/>
    </row>
    <row r="2" spans="2:9" s="31" customFormat="1" ht="82.4" customHeight="1" x14ac:dyDescent="0.25">
      <c r="B2" s="29" t="s">
        <v>0</v>
      </c>
      <c r="C2" s="29" t="s">
        <v>102</v>
      </c>
      <c r="D2" s="30" t="s">
        <v>1</v>
      </c>
      <c r="E2" s="30" t="s">
        <v>2</v>
      </c>
      <c r="F2" s="30" t="s">
        <v>27</v>
      </c>
      <c r="G2" s="30" t="s">
        <v>38</v>
      </c>
      <c r="H2" s="30" t="s">
        <v>28</v>
      </c>
      <c r="I2" s="30" t="s">
        <v>274</v>
      </c>
    </row>
    <row r="3" spans="2:9" ht="25" x14ac:dyDescent="0.25">
      <c r="B3" s="6" t="s">
        <v>20</v>
      </c>
      <c r="C3" s="5" t="s">
        <v>103</v>
      </c>
      <c r="D3" s="36" t="s">
        <v>288</v>
      </c>
      <c r="E3" s="15">
        <v>45223</v>
      </c>
      <c r="F3" s="32" t="s">
        <v>220</v>
      </c>
      <c r="G3" s="33" t="s">
        <v>219</v>
      </c>
      <c r="H3" s="34">
        <f t="shared" ref="H3:H34" si="0">IF(E3&lt;&gt;"",E3+1095,"")</f>
        <v>46318</v>
      </c>
      <c r="I3" s="32" t="s">
        <v>30</v>
      </c>
    </row>
    <row r="4" spans="2:9" ht="37.5" x14ac:dyDescent="0.25">
      <c r="B4" s="2" t="s">
        <v>320</v>
      </c>
      <c r="C4" s="5" t="s">
        <v>104</v>
      </c>
      <c r="D4" s="36" t="s">
        <v>108</v>
      </c>
      <c r="E4" s="15">
        <v>46191</v>
      </c>
      <c r="F4" s="32" t="s">
        <v>192</v>
      </c>
      <c r="G4" s="33" t="s">
        <v>334</v>
      </c>
      <c r="H4" s="34">
        <f t="shared" si="0"/>
        <v>47286</v>
      </c>
      <c r="I4" s="32" t="s">
        <v>30</v>
      </c>
    </row>
    <row r="5" spans="2:9" ht="37.5" x14ac:dyDescent="0.25">
      <c r="B5" s="2" t="s">
        <v>42</v>
      </c>
      <c r="C5" s="5" t="s">
        <v>105</v>
      </c>
      <c r="D5" s="36" t="s">
        <v>31</v>
      </c>
      <c r="E5" s="15">
        <v>46146</v>
      </c>
      <c r="F5" s="32" t="s">
        <v>192</v>
      </c>
      <c r="G5" s="33" t="s">
        <v>327</v>
      </c>
      <c r="H5" s="34">
        <f t="shared" si="0"/>
        <v>47241</v>
      </c>
      <c r="I5" s="32" t="s">
        <v>30</v>
      </c>
    </row>
    <row r="6" spans="2:9" x14ac:dyDescent="0.25">
      <c r="B6" s="2" t="s">
        <v>43</v>
      </c>
      <c r="C6" s="5" t="s">
        <v>105</v>
      </c>
      <c r="D6" s="36" t="s">
        <v>290</v>
      </c>
      <c r="E6" s="15">
        <v>45146</v>
      </c>
      <c r="F6" s="32" t="s">
        <v>113</v>
      </c>
      <c r="G6" s="33" t="s">
        <v>216</v>
      </c>
      <c r="H6" s="34">
        <f t="shared" si="0"/>
        <v>46241</v>
      </c>
      <c r="I6" s="32" t="s">
        <v>30</v>
      </c>
    </row>
    <row r="7" spans="2:9" ht="25" x14ac:dyDescent="0.25">
      <c r="B7" s="2" t="s">
        <v>44</v>
      </c>
      <c r="C7" s="5" t="s">
        <v>105</v>
      </c>
      <c r="D7" s="36" t="s">
        <v>291</v>
      </c>
      <c r="E7" s="15">
        <v>45532</v>
      </c>
      <c r="F7" s="35" t="s">
        <v>234</v>
      </c>
      <c r="G7" s="33" t="s">
        <v>244</v>
      </c>
      <c r="H7" s="34">
        <f t="shared" si="0"/>
        <v>46627</v>
      </c>
      <c r="I7" s="32" t="s">
        <v>30</v>
      </c>
    </row>
    <row r="8" spans="2:9" ht="25" x14ac:dyDescent="0.25">
      <c r="B8" s="2" t="s">
        <v>45</v>
      </c>
      <c r="C8" s="5" t="s">
        <v>105</v>
      </c>
      <c r="D8" s="36" t="s">
        <v>292</v>
      </c>
      <c r="E8" s="15">
        <v>45986</v>
      </c>
      <c r="F8" s="32" t="s">
        <v>192</v>
      </c>
      <c r="G8" s="33" t="s">
        <v>194</v>
      </c>
      <c r="H8" s="34">
        <f t="shared" si="0"/>
        <v>47081</v>
      </c>
      <c r="I8" s="32" t="s">
        <v>30</v>
      </c>
    </row>
    <row r="9" spans="2:9" x14ac:dyDescent="0.25">
      <c r="B9" s="6" t="s">
        <v>46</v>
      </c>
      <c r="C9" s="5" t="s">
        <v>123</v>
      </c>
      <c r="D9" s="36" t="s">
        <v>132</v>
      </c>
      <c r="E9" s="15">
        <v>45700</v>
      </c>
      <c r="F9" s="35" t="s">
        <v>120</v>
      </c>
      <c r="G9" s="33" t="s">
        <v>122</v>
      </c>
      <c r="H9" s="34">
        <f t="shared" si="0"/>
        <v>46795</v>
      </c>
      <c r="I9" s="32" t="s">
        <v>30</v>
      </c>
    </row>
    <row r="10" spans="2:9" x14ac:dyDescent="0.25">
      <c r="B10" s="6" t="s">
        <v>47</v>
      </c>
      <c r="C10" s="5" t="s">
        <v>106</v>
      </c>
      <c r="D10" s="36" t="s">
        <v>295</v>
      </c>
      <c r="E10" s="15">
        <v>45700</v>
      </c>
      <c r="F10" s="35" t="s">
        <v>36</v>
      </c>
      <c r="G10" s="33" t="s">
        <v>193</v>
      </c>
      <c r="H10" s="34">
        <f t="shared" si="0"/>
        <v>46795</v>
      </c>
      <c r="I10" s="32" t="s">
        <v>30</v>
      </c>
    </row>
    <row r="11" spans="2:9" ht="25" x14ac:dyDescent="0.25">
      <c r="B11" s="2" t="s">
        <v>48</v>
      </c>
      <c r="C11" s="5" t="s">
        <v>105</v>
      </c>
      <c r="D11" s="36" t="s">
        <v>290</v>
      </c>
      <c r="E11" s="15">
        <v>46134</v>
      </c>
      <c r="F11" s="32" t="s">
        <v>247</v>
      </c>
      <c r="G11" s="33" t="s">
        <v>325</v>
      </c>
      <c r="H11" s="34">
        <f t="shared" si="0"/>
        <v>47229</v>
      </c>
      <c r="I11" s="32" t="s">
        <v>30</v>
      </c>
    </row>
    <row r="12" spans="2:9" ht="37.5" x14ac:dyDescent="0.25">
      <c r="B12" s="2" t="s">
        <v>49</v>
      </c>
      <c r="C12" s="5" t="s">
        <v>105</v>
      </c>
      <c r="D12" s="36" t="s">
        <v>111</v>
      </c>
      <c r="E12" s="34">
        <v>45296</v>
      </c>
      <c r="F12" s="32" t="s">
        <v>113</v>
      </c>
      <c r="G12" s="37" t="s">
        <v>228</v>
      </c>
      <c r="H12" s="34">
        <f t="shared" si="0"/>
        <v>46391</v>
      </c>
      <c r="I12" s="32" t="s">
        <v>30</v>
      </c>
    </row>
    <row r="13" spans="2:9" ht="62.5" x14ac:dyDescent="0.25">
      <c r="B13" s="2" t="s">
        <v>318</v>
      </c>
      <c r="C13" s="5" t="s">
        <v>103</v>
      </c>
      <c r="D13" s="36" t="s">
        <v>31</v>
      </c>
      <c r="E13" s="15">
        <v>45982</v>
      </c>
      <c r="F13" s="32" t="s">
        <v>317</v>
      </c>
      <c r="G13" s="33" t="s">
        <v>316</v>
      </c>
      <c r="H13" s="34">
        <f t="shared" si="0"/>
        <v>47077</v>
      </c>
      <c r="I13" s="32" t="s">
        <v>30</v>
      </c>
    </row>
    <row r="14" spans="2:9" x14ac:dyDescent="0.25">
      <c r="B14" s="2" t="s">
        <v>50</v>
      </c>
      <c r="C14" s="5" t="s">
        <v>105</v>
      </c>
      <c r="D14" s="36" t="s">
        <v>288</v>
      </c>
      <c r="E14" s="15">
        <v>45230</v>
      </c>
      <c r="F14" s="32" t="s">
        <v>113</v>
      </c>
      <c r="G14" s="33" t="s">
        <v>190</v>
      </c>
      <c r="H14" s="34">
        <f t="shared" si="0"/>
        <v>46325</v>
      </c>
      <c r="I14" s="32" t="s">
        <v>30</v>
      </c>
    </row>
    <row r="15" spans="2:9" x14ac:dyDescent="0.25">
      <c r="B15" s="2" t="s">
        <v>51</v>
      </c>
      <c r="C15" s="5" t="s">
        <v>105</v>
      </c>
      <c r="D15" s="36" t="s">
        <v>290</v>
      </c>
      <c r="E15" s="15">
        <v>45439</v>
      </c>
      <c r="F15" s="32" t="s">
        <v>192</v>
      </c>
      <c r="G15" s="33" t="s">
        <v>240</v>
      </c>
      <c r="H15" s="34">
        <f t="shared" si="0"/>
        <v>46534</v>
      </c>
      <c r="I15" s="32" t="s">
        <v>30</v>
      </c>
    </row>
    <row r="16" spans="2:9" ht="25" x14ac:dyDescent="0.25">
      <c r="B16" s="6" t="s">
        <v>83</v>
      </c>
      <c r="C16" s="5" t="s">
        <v>105</v>
      </c>
      <c r="D16" s="36" t="s">
        <v>110</v>
      </c>
      <c r="E16" s="15">
        <v>45623</v>
      </c>
      <c r="F16" s="35" t="s">
        <v>234</v>
      </c>
      <c r="G16" s="33" t="s">
        <v>250</v>
      </c>
      <c r="H16" s="34">
        <f t="shared" si="0"/>
        <v>46718</v>
      </c>
      <c r="I16" s="12" t="s">
        <v>30</v>
      </c>
    </row>
    <row r="17" spans="2:9" ht="37.5" x14ac:dyDescent="0.25">
      <c r="B17" s="2" t="s">
        <v>53</v>
      </c>
      <c r="C17" s="5" t="s">
        <v>105</v>
      </c>
      <c r="D17" s="36" t="s">
        <v>292</v>
      </c>
      <c r="E17" s="15">
        <v>45302</v>
      </c>
      <c r="F17" s="32" t="s">
        <v>192</v>
      </c>
      <c r="G17" s="33" t="s">
        <v>232</v>
      </c>
      <c r="H17" s="34">
        <f t="shared" si="0"/>
        <v>46397</v>
      </c>
      <c r="I17" s="32" t="s">
        <v>30</v>
      </c>
    </row>
    <row r="18" spans="2:9" ht="25" x14ac:dyDescent="0.25">
      <c r="B18" s="2" t="s">
        <v>218</v>
      </c>
      <c r="C18" s="5" t="s">
        <v>105</v>
      </c>
      <c r="D18" s="36" t="s">
        <v>276</v>
      </c>
      <c r="E18" s="34">
        <v>45727</v>
      </c>
      <c r="F18" s="35" t="s">
        <v>234</v>
      </c>
      <c r="G18" s="55" t="s">
        <v>275</v>
      </c>
      <c r="H18" s="34">
        <f t="shared" si="0"/>
        <v>46822</v>
      </c>
      <c r="I18" s="32" t="s">
        <v>30</v>
      </c>
    </row>
    <row r="19" spans="2:9" ht="62.5" x14ac:dyDescent="0.25">
      <c r="B19" s="2" t="s">
        <v>54</v>
      </c>
      <c r="C19" s="5" t="s">
        <v>105</v>
      </c>
      <c r="D19" s="36" t="s">
        <v>289</v>
      </c>
      <c r="E19" s="15">
        <v>45608</v>
      </c>
      <c r="F19" s="35" t="s">
        <v>234</v>
      </c>
      <c r="G19" s="33" t="s">
        <v>249</v>
      </c>
      <c r="H19" s="34">
        <f t="shared" si="0"/>
        <v>46703</v>
      </c>
      <c r="I19" s="32" t="s">
        <v>30</v>
      </c>
    </row>
    <row r="20" spans="2:9" ht="50" x14ac:dyDescent="0.25">
      <c r="B20" s="6" t="s">
        <v>55</v>
      </c>
      <c r="C20" s="5" t="s">
        <v>123</v>
      </c>
      <c r="D20" s="36" t="s">
        <v>108</v>
      </c>
      <c r="E20" s="15">
        <v>45495</v>
      </c>
      <c r="F20" s="32" t="s">
        <v>242</v>
      </c>
      <c r="G20" s="33" t="s">
        <v>241</v>
      </c>
      <c r="H20" s="34">
        <f t="shared" si="0"/>
        <v>46590</v>
      </c>
      <c r="I20" s="32" t="s">
        <v>30</v>
      </c>
    </row>
    <row r="21" spans="2:9" ht="50.15" customHeight="1" x14ac:dyDescent="0.25">
      <c r="B21" s="2" t="s">
        <v>56</v>
      </c>
      <c r="C21" s="5" t="s">
        <v>105</v>
      </c>
      <c r="D21" s="36" t="s">
        <v>109</v>
      </c>
      <c r="E21" s="17">
        <v>45112</v>
      </c>
      <c r="F21" s="12" t="s">
        <v>198</v>
      </c>
      <c r="G21" s="45" t="s">
        <v>255</v>
      </c>
      <c r="H21" s="34">
        <f t="shared" si="0"/>
        <v>46207</v>
      </c>
      <c r="I21" s="32" t="s">
        <v>30</v>
      </c>
    </row>
    <row r="22" spans="2:9" ht="25" x14ac:dyDescent="0.25">
      <c r="B22" s="6" t="s">
        <v>57</v>
      </c>
      <c r="C22" s="5" t="s">
        <v>106</v>
      </c>
      <c r="D22" s="36" t="s">
        <v>132</v>
      </c>
      <c r="E22" s="15">
        <v>45506</v>
      </c>
      <c r="F22" s="32" t="s">
        <v>192</v>
      </c>
      <c r="G22" s="33" t="s">
        <v>243</v>
      </c>
      <c r="H22" s="34">
        <f t="shared" si="0"/>
        <v>46601</v>
      </c>
      <c r="I22" s="32" t="s">
        <v>30</v>
      </c>
    </row>
    <row r="23" spans="2:9" ht="37.5" x14ac:dyDescent="0.25">
      <c r="B23" s="2" t="s">
        <v>58</v>
      </c>
      <c r="C23" s="5" t="s">
        <v>105</v>
      </c>
      <c r="D23" s="36" t="s">
        <v>293</v>
      </c>
      <c r="E23" s="15">
        <v>45302</v>
      </c>
      <c r="F23" s="32" t="s">
        <v>113</v>
      </c>
      <c r="G23" s="38" t="s">
        <v>231</v>
      </c>
      <c r="H23" s="34">
        <f t="shared" si="0"/>
        <v>46397</v>
      </c>
      <c r="I23" s="32" t="s">
        <v>30</v>
      </c>
    </row>
    <row r="24" spans="2:9" ht="41.15" customHeight="1" x14ac:dyDescent="0.25">
      <c r="B24" s="2" t="s">
        <v>59</v>
      </c>
      <c r="C24" s="5" t="s">
        <v>105</v>
      </c>
      <c r="D24" s="36" t="s">
        <v>310</v>
      </c>
      <c r="E24" s="15">
        <v>45986</v>
      </c>
      <c r="F24" s="32" t="s">
        <v>247</v>
      </c>
      <c r="G24" s="33" t="s">
        <v>311</v>
      </c>
      <c r="H24" s="34">
        <f t="shared" si="0"/>
        <v>47081</v>
      </c>
      <c r="I24" s="32" t="s">
        <v>30</v>
      </c>
    </row>
    <row r="25" spans="2:9" ht="25" x14ac:dyDescent="0.25">
      <c r="B25" s="2" t="s">
        <v>60</v>
      </c>
      <c r="C25" s="5" t="s">
        <v>105</v>
      </c>
      <c r="D25" s="36" t="s">
        <v>109</v>
      </c>
      <c r="E25" s="15">
        <v>45128</v>
      </c>
      <c r="F25" s="32" t="s">
        <v>198</v>
      </c>
      <c r="G25" s="51" t="s">
        <v>115</v>
      </c>
      <c r="H25" s="34">
        <f t="shared" si="0"/>
        <v>46223</v>
      </c>
      <c r="I25" s="32" t="s">
        <v>30</v>
      </c>
    </row>
    <row r="26" spans="2:9" ht="25" x14ac:dyDescent="0.25">
      <c r="B26" s="2" t="s">
        <v>61</v>
      </c>
      <c r="C26" s="5" t="s">
        <v>105</v>
      </c>
      <c r="D26" s="36" t="s">
        <v>8</v>
      </c>
      <c r="E26" s="34">
        <v>45743</v>
      </c>
      <c r="F26" s="61" t="s">
        <v>234</v>
      </c>
      <c r="G26" s="62" t="s">
        <v>285</v>
      </c>
      <c r="H26" s="63">
        <f t="shared" si="0"/>
        <v>46838</v>
      </c>
      <c r="I26" s="32" t="s">
        <v>30</v>
      </c>
    </row>
    <row r="27" spans="2:9" ht="25" x14ac:dyDescent="0.25">
      <c r="B27" s="2" t="s">
        <v>62</v>
      </c>
      <c r="C27" s="5" t="s">
        <v>105</v>
      </c>
      <c r="D27" s="36" t="s">
        <v>109</v>
      </c>
      <c r="E27" s="15">
        <v>45113</v>
      </c>
      <c r="F27" s="32" t="s">
        <v>198</v>
      </c>
      <c r="G27" s="64" t="s">
        <v>115</v>
      </c>
      <c r="H27" s="34">
        <f t="shared" si="0"/>
        <v>46208</v>
      </c>
      <c r="I27" s="32" t="s">
        <v>30</v>
      </c>
    </row>
    <row r="28" spans="2:9" ht="25" x14ac:dyDescent="0.25">
      <c r="B28" s="2" t="s">
        <v>63</v>
      </c>
      <c r="C28" s="5" t="s">
        <v>105</v>
      </c>
      <c r="D28" s="36" t="s">
        <v>109</v>
      </c>
      <c r="E28" s="15">
        <v>45128</v>
      </c>
      <c r="F28" s="32" t="s">
        <v>198</v>
      </c>
      <c r="G28" s="33" t="s">
        <v>115</v>
      </c>
      <c r="H28" s="34">
        <f t="shared" si="0"/>
        <v>46223</v>
      </c>
      <c r="I28" s="32" t="s">
        <v>30</v>
      </c>
    </row>
    <row r="29" spans="2:9" ht="25" x14ac:dyDescent="0.25">
      <c r="B29" s="2" t="s">
        <v>64</v>
      </c>
      <c r="C29" s="5" t="s">
        <v>105</v>
      </c>
      <c r="D29" s="36" t="s">
        <v>8</v>
      </c>
      <c r="E29" s="15">
        <v>45866</v>
      </c>
      <c r="F29" s="35" t="s">
        <v>234</v>
      </c>
      <c r="G29" s="33" t="s">
        <v>301</v>
      </c>
      <c r="H29" s="34">
        <f t="shared" si="0"/>
        <v>46961</v>
      </c>
      <c r="I29" s="32" t="s">
        <v>30</v>
      </c>
    </row>
    <row r="30" spans="2:9" ht="25" x14ac:dyDescent="0.25">
      <c r="B30" s="2" t="s">
        <v>65</v>
      </c>
      <c r="C30" s="5" t="s">
        <v>105</v>
      </c>
      <c r="D30" s="36" t="s">
        <v>291</v>
      </c>
      <c r="E30" s="15">
        <v>45734</v>
      </c>
      <c r="F30" s="35" t="s">
        <v>234</v>
      </c>
      <c r="G30" s="33" t="s">
        <v>287</v>
      </c>
      <c r="H30" s="34">
        <f t="shared" si="0"/>
        <v>46829</v>
      </c>
      <c r="I30" s="32" t="s">
        <v>30</v>
      </c>
    </row>
    <row r="31" spans="2:9" x14ac:dyDescent="0.25">
      <c r="B31" s="2" t="s">
        <v>66</v>
      </c>
      <c r="C31" s="5" t="s">
        <v>105</v>
      </c>
      <c r="D31" s="36" t="s">
        <v>289</v>
      </c>
      <c r="E31" s="15">
        <v>45194</v>
      </c>
      <c r="F31" s="32" t="s">
        <v>113</v>
      </c>
      <c r="G31" s="38" t="s">
        <v>230</v>
      </c>
      <c r="H31" s="34">
        <f t="shared" si="0"/>
        <v>46289</v>
      </c>
      <c r="I31" s="32" t="s">
        <v>30</v>
      </c>
    </row>
    <row r="32" spans="2:9" x14ac:dyDescent="0.25">
      <c r="B32" s="6" t="s">
        <v>84</v>
      </c>
      <c r="C32" s="5" t="s">
        <v>123</v>
      </c>
      <c r="D32" s="36" t="s">
        <v>329</v>
      </c>
      <c r="E32" s="15">
        <v>45996</v>
      </c>
      <c r="F32" s="35" t="s">
        <v>330</v>
      </c>
      <c r="G32" s="33" t="s">
        <v>191</v>
      </c>
      <c r="H32" s="34">
        <f t="shared" si="0"/>
        <v>47091</v>
      </c>
      <c r="I32" s="32" t="s">
        <v>30</v>
      </c>
    </row>
    <row r="33" spans="2:9" ht="37.5" x14ac:dyDescent="0.25">
      <c r="B33" s="6" t="s">
        <v>85</v>
      </c>
      <c r="C33" s="5" t="s">
        <v>123</v>
      </c>
      <c r="D33" s="36" t="s">
        <v>295</v>
      </c>
      <c r="E33" s="15">
        <v>45152</v>
      </c>
      <c r="F33" s="35" t="s">
        <v>36</v>
      </c>
      <c r="G33" s="33" t="s">
        <v>225</v>
      </c>
      <c r="H33" s="34">
        <f t="shared" si="0"/>
        <v>46247</v>
      </c>
      <c r="I33" s="32" t="s">
        <v>30</v>
      </c>
    </row>
    <row r="34" spans="2:9" ht="87.5" x14ac:dyDescent="0.25">
      <c r="B34" s="6" t="s">
        <v>86</v>
      </c>
      <c r="C34" s="5" t="s">
        <v>123</v>
      </c>
      <c r="D34" s="36" t="s">
        <v>296</v>
      </c>
      <c r="E34" s="15">
        <v>45636</v>
      </c>
      <c r="F34" s="35" t="s">
        <v>252</v>
      </c>
      <c r="G34" s="33" t="s">
        <v>253</v>
      </c>
      <c r="H34" s="34">
        <f t="shared" si="0"/>
        <v>46731</v>
      </c>
      <c r="I34" s="32" t="s">
        <v>30</v>
      </c>
    </row>
    <row r="35" spans="2:9" x14ac:dyDescent="0.25">
      <c r="B35" s="6" t="s">
        <v>87</v>
      </c>
      <c r="C35" s="5" t="s">
        <v>123</v>
      </c>
      <c r="D35" s="36" t="s">
        <v>294</v>
      </c>
      <c r="E35" s="15">
        <v>45996</v>
      </c>
      <c r="F35" s="35" t="s">
        <v>330</v>
      </c>
      <c r="G35" s="33" t="s">
        <v>191</v>
      </c>
      <c r="H35" s="34">
        <f t="shared" ref="H35:H66" si="1">IF(E35&lt;&gt;"",E35+1095,"")</f>
        <v>47091</v>
      </c>
      <c r="I35" s="32" t="s">
        <v>30</v>
      </c>
    </row>
    <row r="36" spans="2:9" ht="106.5" customHeight="1" x14ac:dyDescent="0.25">
      <c r="B36" s="6" t="s">
        <v>4</v>
      </c>
      <c r="C36" s="5" t="s">
        <v>103</v>
      </c>
      <c r="D36" s="36" t="s">
        <v>297</v>
      </c>
      <c r="E36" s="17">
        <v>45680</v>
      </c>
      <c r="F36" s="12" t="s">
        <v>33</v>
      </c>
      <c r="G36" s="46" t="s">
        <v>256</v>
      </c>
      <c r="H36" s="34">
        <f t="shared" si="1"/>
        <v>46775</v>
      </c>
      <c r="I36" s="32" t="s">
        <v>222</v>
      </c>
    </row>
    <row r="37" spans="2:9" ht="75.650000000000006" customHeight="1" x14ac:dyDescent="0.25">
      <c r="B37" s="6" t="s">
        <v>90</v>
      </c>
      <c r="C37" s="5" t="s">
        <v>123</v>
      </c>
      <c r="D37" s="36" t="s">
        <v>298</v>
      </c>
      <c r="E37" s="15">
        <v>45735</v>
      </c>
      <c r="F37" s="32" t="s">
        <v>252</v>
      </c>
      <c r="G37" s="33" t="s">
        <v>257</v>
      </c>
      <c r="H37" s="34">
        <f t="shared" si="1"/>
        <v>46830</v>
      </c>
      <c r="I37" s="32" t="s">
        <v>30</v>
      </c>
    </row>
    <row r="38" spans="2:9" ht="25" x14ac:dyDescent="0.25">
      <c r="B38" s="6" t="s">
        <v>12</v>
      </c>
      <c r="C38" s="5" t="s">
        <v>103</v>
      </c>
      <c r="D38" s="36" t="s">
        <v>291</v>
      </c>
      <c r="E38" s="34">
        <v>44875</v>
      </c>
      <c r="F38" s="32" t="s">
        <v>35</v>
      </c>
      <c r="G38" s="38" t="s">
        <v>195</v>
      </c>
      <c r="H38" s="34">
        <f t="shared" si="1"/>
        <v>45970</v>
      </c>
      <c r="I38" s="32" t="s">
        <v>30</v>
      </c>
    </row>
    <row r="39" spans="2:9" x14ac:dyDescent="0.25">
      <c r="B39" s="2" t="s">
        <v>307</v>
      </c>
      <c r="C39" s="5" t="s">
        <v>103</v>
      </c>
      <c r="D39" s="36" t="s">
        <v>111</v>
      </c>
      <c r="E39" s="53">
        <v>45937</v>
      </c>
      <c r="F39" s="32" t="s">
        <v>33</v>
      </c>
      <c r="G39" s="33" t="s">
        <v>308</v>
      </c>
      <c r="H39" s="34">
        <f t="shared" si="1"/>
        <v>47032</v>
      </c>
      <c r="I39" s="32" t="s">
        <v>30</v>
      </c>
    </row>
    <row r="40" spans="2:9" x14ac:dyDescent="0.25">
      <c r="B40" s="6" t="s">
        <v>13</v>
      </c>
      <c r="C40" s="5" t="s">
        <v>103</v>
      </c>
      <c r="D40" s="36" t="s">
        <v>292</v>
      </c>
      <c r="E40" s="52">
        <v>45421</v>
      </c>
      <c r="F40" s="12" t="s">
        <v>34</v>
      </c>
      <c r="G40" s="46" t="s">
        <v>258</v>
      </c>
      <c r="H40" s="34">
        <f t="shared" si="1"/>
        <v>46516</v>
      </c>
      <c r="I40" s="32" t="s">
        <v>30</v>
      </c>
    </row>
    <row r="41" spans="2:9" ht="25" x14ac:dyDescent="0.25">
      <c r="B41" s="6" t="s">
        <v>14</v>
      </c>
      <c r="C41" s="5" t="s">
        <v>103</v>
      </c>
      <c r="D41" s="36" t="s">
        <v>8</v>
      </c>
      <c r="E41" s="15">
        <v>45997</v>
      </c>
      <c r="F41" s="32" t="s">
        <v>33</v>
      </c>
      <c r="G41" s="33" t="s">
        <v>221</v>
      </c>
      <c r="H41" s="34">
        <f t="shared" si="1"/>
        <v>47092</v>
      </c>
      <c r="I41" s="32" t="s">
        <v>30</v>
      </c>
    </row>
    <row r="42" spans="2:9" ht="25" x14ac:dyDescent="0.25">
      <c r="B42" s="6" t="s">
        <v>15</v>
      </c>
      <c r="C42" s="5" t="s">
        <v>103</v>
      </c>
      <c r="D42" s="36" t="s">
        <v>290</v>
      </c>
      <c r="E42" s="15">
        <v>45997</v>
      </c>
      <c r="F42" s="32" t="s">
        <v>33</v>
      </c>
      <c r="G42" s="54" t="s">
        <v>223</v>
      </c>
      <c r="H42" s="34">
        <f t="shared" si="1"/>
        <v>47092</v>
      </c>
      <c r="I42" s="32" t="s">
        <v>30</v>
      </c>
    </row>
    <row r="43" spans="2:9" ht="14" x14ac:dyDescent="0.3">
      <c r="B43" s="2" t="s">
        <v>16</v>
      </c>
      <c r="C43" s="5" t="s">
        <v>103</v>
      </c>
      <c r="D43" s="36" t="s">
        <v>108</v>
      </c>
      <c r="E43" s="15">
        <v>46139</v>
      </c>
      <c r="F43" s="35" t="s">
        <v>34</v>
      </c>
      <c r="G43" s="65" t="s">
        <v>328</v>
      </c>
      <c r="H43" s="34">
        <f t="shared" si="1"/>
        <v>47234</v>
      </c>
      <c r="I43" s="32" t="s">
        <v>30</v>
      </c>
    </row>
    <row r="44" spans="2:9" x14ac:dyDescent="0.25">
      <c r="B44" s="2" t="s">
        <v>67</v>
      </c>
      <c r="C44" s="5" t="s">
        <v>105</v>
      </c>
      <c r="D44" s="36" t="s">
        <v>132</v>
      </c>
      <c r="E44" s="15">
        <v>46134</v>
      </c>
      <c r="F44" s="32" t="s">
        <v>247</v>
      </c>
      <c r="G44" s="33" t="s">
        <v>326</v>
      </c>
      <c r="H44" s="34">
        <f t="shared" si="1"/>
        <v>47229</v>
      </c>
      <c r="I44" s="32" t="s">
        <v>222</v>
      </c>
    </row>
    <row r="45" spans="2:9" ht="25" x14ac:dyDescent="0.25">
      <c r="B45" s="2" t="s">
        <v>68</v>
      </c>
      <c r="C45" s="5" t="s">
        <v>105</v>
      </c>
      <c r="D45" s="36" t="s">
        <v>109</v>
      </c>
      <c r="E45" s="15">
        <v>45427</v>
      </c>
      <c r="F45" s="32" t="s">
        <v>192</v>
      </c>
      <c r="G45" s="33" t="s">
        <v>235</v>
      </c>
      <c r="H45" s="34">
        <f t="shared" si="1"/>
        <v>46522</v>
      </c>
      <c r="I45" s="32" t="s">
        <v>30</v>
      </c>
    </row>
    <row r="46" spans="2:9" x14ac:dyDescent="0.25">
      <c r="B46" s="2" t="s">
        <v>69</v>
      </c>
      <c r="C46" s="5" t="s">
        <v>105</v>
      </c>
      <c r="D46" s="36" t="s">
        <v>32</v>
      </c>
      <c r="E46" s="15">
        <v>45986</v>
      </c>
      <c r="F46" s="32" t="s">
        <v>192</v>
      </c>
      <c r="G46" s="33" t="s">
        <v>259</v>
      </c>
      <c r="H46" s="34">
        <f t="shared" si="1"/>
        <v>47081</v>
      </c>
      <c r="I46" s="32" t="s">
        <v>30</v>
      </c>
    </row>
    <row r="47" spans="2:9" ht="25" x14ac:dyDescent="0.25">
      <c r="B47" s="2" t="s">
        <v>70</v>
      </c>
      <c r="C47" s="5" t="s">
        <v>105</v>
      </c>
      <c r="D47" s="36" t="s">
        <v>23</v>
      </c>
      <c r="E47" s="15">
        <v>45302</v>
      </c>
      <c r="F47" s="32" t="s">
        <v>192</v>
      </c>
      <c r="G47" s="33" t="s">
        <v>116</v>
      </c>
      <c r="H47" s="34">
        <f t="shared" si="1"/>
        <v>46397</v>
      </c>
      <c r="I47" s="32" t="s">
        <v>30</v>
      </c>
    </row>
    <row r="48" spans="2:9" x14ac:dyDescent="0.25">
      <c r="B48" s="2" t="s">
        <v>71</v>
      </c>
      <c r="C48" s="5" t="s">
        <v>105</v>
      </c>
      <c r="D48" s="36" t="s">
        <v>23</v>
      </c>
      <c r="E48" s="15">
        <v>45302</v>
      </c>
      <c r="F48" s="32" t="s">
        <v>192</v>
      </c>
      <c r="G48" s="33" t="s">
        <v>229</v>
      </c>
      <c r="H48" s="34">
        <f t="shared" si="1"/>
        <v>46397</v>
      </c>
      <c r="I48" s="32" t="s">
        <v>30</v>
      </c>
    </row>
    <row r="49" spans="2:9" x14ac:dyDescent="0.25">
      <c r="B49" s="2" t="s">
        <v>72</v>
      </c>
      <c r="C49" s="5" t="s">
        <v>105</v>
      </c>
      <c r="D49" s="36" t="s">
        <v>292</v>
      </c>
      <c r="E49" s="15">
        <v>45986</v>
      </c>
      <c r="F49" s="32" t="s">
        <v>192</v>
      </c>
      <c r="G49" s="33" t="s">
        <v>309</v>
      </c>
      <c r="H49" s="34">
        <f t="shared" si="1"/>
        <v>47081</v>
      </c>
      <c r="I49" s="32" t="s">
        <v>30</v>
      </c>
    </row>
    <row r="50" spans="2:9" ht="28" x14ac:dyDescent="0.25">
      <c r="B50" s="2" t="s">
        <v>73</v>
      </c>
      <c r="C50" s="5" t="s">
        <v>105</v>
      </c>
      <c r="D50" s="36" t="s">
        <v>8</v>
      </c>
      <c r="E50" s="15">
        <v>45664</v>
      </c>
      <c r="F50" s="35" t="s">
        <v>234</v>
      </c>
      <c r="G50" s="44" t="s">
        <v>254</v>
      </c>
      <c r="H50" s="34">
        <f t="shared" si="1"/>
        <v>46759</v>
      </c>
      <c r="I50" s="32" t="s">
        <v>30</v>
      </c>
    </row>
    <row r="51" spans="2:9" ht="25" x14ac:dyDescent="0.25">
      <c r="B51" s="2" t="s">
        <v>74</v>
      </c>
      <c r="C51" s="5" t="s">
        <v>105</v>
      </c>
      <c r="D51" s="36" t="s">
        <v>23</v>
      </c>
      <c r="E51" s="15">
        <v>45408</v>
      </c>
      <c r="F51" s="32" t="s">
        <v>192</v>
      </c>
      <c r="G51" s="33" t="s">
        <v>117</v>
      </c>
      <c r="H51" s="34">
        <f t="shared" si="1"/>
        <v>46503</v>
      </c>
      <c r="I51" s="32" t="s">
        <v>30</v>
      </c>
    </row>
    <row r="52" spans="2:9" x14ac:dyDescent="0.25">
      <c r="B52" s="2" t="s">
        <v>75</v>
      </c>
      <c r="C52" s="5" t="s">
        <v>105</v>
      </c>
      <c r="D52" s="36" t="s">
        <v>23</v>
      </c>
      <c r="E52" s="15">
        <v>45140</v>
      </c>
      <c r="F52" s="32" t="s">
        <v>192</v>
      </c>
      <c r="G52" s="33" t="s">
        <v>215</v>
      </c>
      <c r="H52" s="34">
        <f t="shared" si="1"/>
        <v>46235</v>
      </c>
      <c r="I52" s="32" t="s">
        <v>30</v>
      </c>
    </row>
    <row r="53" spans="2:9" ht="25" x14ac:dyDescent="0.25">
      <c r="B53" s="2" t="s">
        <v>76</v>
      </c>
      <c r="C53" s="5" t="s">
        <v>105</v>
      </c>
      <c r="D53" s="36" t="s">
        <v>23</v>
      </c>
      <c r="E53" s="15">
        <v>45408</v>
      </c>
      <c r="F53" s="32" t="s">
        <v>192</v>
      </c>
      <c r="G53" s="33" t="s">
        <v>117</v>
      </c>
      <c r="H53" s="34">
        <f t="shared" si="1"/>
        <v>46503</v>
      </c>
      <c r="I53" s="32" t="s">
        <v>30</v>
      </c>
    </row>
    <row r="54" spans="2:9" x14ac:dyDescent="0.25">
      <c r="B54" s="2" t="s">
        <v>77</v>
      </c>
      <c r="C54" s="5" t="s">
        <v>105</v>
      </c>
      <c r="D54" s="36" t="s">
        <v>23</v>
      </c>
      <c r="E54" s="15">
        <v>45408</v>
      </c>
      <c r="F54" s="32" t="s">
        <v>192</v>
      </c>
      <c r="G54" s="33" t="s">
        <v>237</v>
      </c>
      <c r="H54" s="34">
        <f t="shared" si="1"/>
        <v>46503</v>
      </c>
      <c r="I54" s="32" t="s">
        <v>30</v>
      </c>
    </row>
    <row r="55" spans="2:9" ht="25" x14ac:dyDescent="0.25">
      <c r="B55" s="2" t="s">
        <v>78</v>
      </c>
      <c r="C55" s="5" t="s">
        <v>105</v>
      </c>
      <c r="D55" s="36" t="s">
        <v>23</v>
      </c>
      <c r="E55" s="15">
        <v>45279</v>
      </c>
      <c r="F55" s="32" t="s">
        <v>113</v>
      </c>
      <c r="G55" s="33" t="s">
        <v>260</v>
      </c>
      <c r="H55" s="34">
        <f t="shared" si="1"/>
        <v>46374</v>
      </c>
      <c r="I55" s="32" t="s">
        <v>30</v>
      </c>
    </row>
    <row r="56" spans="2:9" ht="75" x14ac:dyDescent="0.25">
      <c r="B56" s="2" t="s">
        <v>17</v>
      </c>
      <c r="C56" s="5" t="s">
        <v>103</v>
      </c>
      <c r="D56" s="36" t="s">
        <v>31</v>
      </c>
      <c r="E56" s="15">
        <v>46195</v>
      </c>
      <c r="F56" s="32" t="s">
        <v>305</v>
      </c>
      <c r="G56" s="72" t="s">
        <v>335</v>
      </c>
      <c r="H56" s="34">
        <f t="shared" si="1"/>
        <v>47290</v>
      </c>
      <c r="I56" s="32" t="s">
        <v>30</v>
      </c>
    </row>
    <row r="57" spans="2:9" ht="37.5" x14ac:dyDescent="0.25">
      <c r="B57" s="6" t="s">
        <v>18</v>
      </c>
      <c r="C57" s="5" t="s">
        <v>103</v>
      </c>
      <c r="D57" s="36" t="s">
        <v>8</v>
      </c>
      <c r="E57" s="15">
        <v>45371</v>
      </c>
      <c r="F57" s="32" t="s">
        <v>261</v>
      </c>
      <c r="G57" s="33" t="s">
        <v>262</v>
      </c>
      <c r="H57" s="34">
        <f t="shared" si="1"/>
        <v>46466</v>
      </c>
      <c r="I57" s="32" t="s">
        <v>30</v>
      </c>
    </row>
    <row r="58" spans="2:9" ht="25" x14ac:dyDescent="0.25">
      <c r="B58" s="2" t="s">
        <v>79</v>
      </c>
      <c r="C58" s="5" t="s">
        <v>105</v>
      </c>
      <c r="D58" s="36" t="s">
        <v>292</v>
      </c>
      <c r="E58" s="15">
        <v>45429</v>
      </c>
      <c r="F58" s="32" t="s">
        <v>192</v>
      </c>
      <c r="G58" s="33" t="s">
        <v>236</v>
      </c>
      <c r="H58" s="34">
        <f t="shared" si="1"/>
        <v>46524</v>
      </c>
      <c r="I58" s="32" t="s">
        <v>30</v>
      </c>
    </row>
    <row r="59" spans="2:9" ht="37.5" x14ac:dyDescent="0.25">
      <c r="B59" s="6" t="s">
        <v>91</v>
      </c>
      <c r="C59" s="5" t="s">
        <v>123</v>
      </c>
      <c r="D59" s="36" t="s">
        <v>277</v>
      </c>
      <c r="E59" s="15">
        <v>45078</v>
      </c>
      <c r="F59" s="32" t="s">
        <v>211</v>
      </c>
      <c r="G59" s="33" t="s">
        <v>210</v>
      </c>
      <c r="H59" s="34">
        <f t="shared" si="1"/>
        <v>46173</v>
      </c>
      <c r="I59" s="32" t="s">
        <v>30</v>
      </c>
    </row>
    <row r="60" spans="2:9" x14ac:dyDescent="0.25">
      <c r="B60" s="2" t="s">
        <v>80</v>
      </c>
      <c r="C60" s="5" t="s">
        <v>105</v>
      </c>
      <c r="D60" s="36" t="s">
        <v>109</v>
      </c>
      <c r="E60" s="15">
        <v>45986</v>
      </c>
      <c r="F60" s="32" t="s">
        <v>247</v>
      </c>
      <c r="G60" s="33" t="s">
        <v>312</v>
      </c>
      <c r="H60" s="34">
        <f t="shared" si="1"/>
        <v>47081</v>
      </c>
      <c r="I60" s="32" t="s">
        <v>30</v>
      </c>
    </row>
    <row r="61" spans="2:9" x14ac:dyDescent="0.25">
      <c r="B61" s="6" t="s">
        <v>6</v>
      </c>
      <c r="C61" s="5" t="s">
        <v>103</v>
      </c>
      <c r="D61" s="36" t="s">
        <v>109</v>
      </c>
      <c r="E61" s="15">
        <v>45993</v>
      </c>
      <c r="F61" s="32" t="s">
        <v>33</v>
      </c>
      <c r="G61" s="33" t="s">
        <v>224</v>
      </c>
      <c r="H61" s="34">
        <f t="shared" si="1"/>
        <v>47088</v>
      </c>
      <c r="I61" s="32" t="s">
        <v>30</v>
      </c>
    </row>
    <row r="62" spans="2:9" ht="25" x14ac:dyDescent="0.25">
      <c r="B62" s="2" t="s">
        <v>7</v>
      </c>
      <c r="C62" s="5" t="s">
        <v>103</v>
      </c>
      <c r="D62" s="36" t="s">
        <v>8</v>
      </c>
      <c r="E62" s="15">
        <v>45819</v>
      </c>
      <c r="F62" s="32" t="s">
        <v>33</v>
      </c>
      <c r="G62" s="33" t="s">
        <v>300</v>
      </c>
      <c r="H62" s="34">
        <f t="shared" si="1"/>
        <v>46914</v>
      </c>
      <c r="I62" s="32" t="s">
        <v>30</v>
      </c>
    </row>
    <row r="63" spans="2:9" ht="25" x14ac:dyDescent="0.25">
      <c r="B63" s="2" t="s">
        <v>82</v>
      </c>
      <c r="C63" s="5" t="s">
        <v>105</v>
      </c>
      <c r="D63" s="36" t="s">
        <v>23</v>
      </c>
      <c r="E63" s="15">
        <v>45866</v>
      </c>
      <c r="F63" s="35" t="s">
        <v>234</v>
      </c>
      <c r="G63" s="33" t="s">
        <v>115</v>
      </c>
      <c r="H63" s="34">
        <f t="shared" si="1"/>
        <v>46961</v>
      </c>
      <c r="I63" s="32" t="s">
        <v>30</v>
      </c>
    </row>
    <row r="64" spans="2:9" x14ac:dyDescent="0.25">
      <c r="B64" s="6" t="s">
        <v>119</v>
      </c>
      <c r="C64" s="5" t="s">
        <v>106</v>
      </c>
      <c r="D64" s="36" t="s">
        <v>3</v>
      </c>
      <c r="E64" s="15">
        <v>45986</v>
      </c>
      <c r="F64" s="32" t="s">
        <v>247</v>
      </c>
      <c r="G64" s="33" t="s">
        <v>313</v>
      </c>
      <c r="H64" s="34">
        <f t="shared" si="1"/>
        <v>47081</v>
      </c>
      <c r="I64" s="32" t="s">
        <v>30</v>
      </c>
    </row>
    <row r="65" spans="2:9" x14ac:dyDescent="0.25">
      <c r="B65" s="2" t="s">
        <v>92</v>
      </c>
      <c r="C65" s="5" t="s">
        <v>105</v>
      </c>
      <c r="D65" s="36" t="s">
        <v>23</v>
      </c>
      <c r="E65" s="15">
        <v>45986</v>
      </c>
      <c r="F65" s="32" t="s">
        <v>247</v>
      </c>
      <c r="G65" s="33" t="s">
        <v>190</v>
      </c>
      <c r="H65" s="34">
        <f t="shared" si="1"/>
        <v>47081</v>
      </c>
      <c r="I65" s="32" t="s">
        <v>30</v>
      </c>
    </row>
    <row r="66" spans="2:9" ht="25" x14ac:dyDescent="0.25">
      <c r="B66" s="6" t="s">
        <v>93</v>
      </c>
      <c r="C66" s="5" t="s">
        <v>104</v>
      </c>
      <c r="D66" s="36" t="s">
        <v>23</v>
      </c>
      <c r="E66" s="15">
        <v>45986</v>
      </c>
      <c r="F66" s="32" t="s">
        <v>247</v>
      </c>
      <c r="G66" s="46" t="s">
        <v>314</v>
      </c>
      <c r="H66" s="34">
        <f t="shared" si="1"/>
        <v>47081</v>
      </c>
      <c r="I66" s="32" t="s">
        <v>30</v>
      </c>
    </row>
    <row r="67" spans="2:9" ht="25" x14ac:dyDescent="0.25">
      <c r="B67" s="2" t="s">
        <v>19</v>
      </c>
      <c r="C67" s="5" t="s">
        <v>103</v>
      </c>
      <c r="D67" s="36" t="s">
        <v>8</v>
      </c>
      <c r="E67" s="15">
        <v>45905</v>
      </c>
      <c r="F67" s="32" t="s">
        <v>305</v>
      </c>
      <c r="G67" s="33" t="s">
        <v>306</v>
      </c>
      <c r="H67" s="34">
        <f t="shared" ref="H67:H97" si="2">IF(E67&lt;&gt;"",E67+1095,"")</f>
        <v>47000</v>
      </c>
      <c r="I67" s="32" t="s">
        <v>30</v>
      </c>
    </row>
    <row r="68" spans="2:9" ht="20.9" customHeight="1" x14ac:dyDescent="0.25">
      <c r="B68" s="2" t="s">
        <v>94</v>
      </c>
      <c r="C68" s="5" t="s">
        <v>105</v>
      </c>
      <c r="D68" s="36" t="s">
        <v>111</v>
      </c>
      <c r="E68" s="15">
        <v>45120</v>
      </c>
      <c r="F68" s="32" t="s">
        <v>113</v>
      </c>
      <c r="G68" s="33" t="s">
        <v>196</v>
      </c>
      <c r="H68" s="34">
        <f t="shared" si="2"/>
        <v>46215</v>
      </c>
      <c r="I68" s="32" t="s">
        <v>30</v>
      </c>
    </row>
    <row r="69" spans="2:9" x14ac:dyDescent="0.25">
      <c r="B69" s="2" t="s">
        <v>95</v>
      </c>
      <c r="C69" s="5" t="s">
        <v>105</v>
      </c>
      <c r="D69" s="36" t="s">
        <v>23</v>
      </c>
      <c r="E69" s="15">
        <v>46006</v>
      </c>
      <c r="F69" s="32" t="s">
        <v>247</v>
      </c>
      <c r="G69" s="33" t="s">
        <v>190</v>
      </c>
      <c r="H69" s="34">
        <f t="shared" si="2"/>
        <v>47101</v>
      </c>
      <c r="I69" s="32" t="s">
        <v>30</v>
      </c>
    </row>
    <row r="70" spans="2:9" ht="62.5" x14ac:dyDescent="0.25">
      <c r="B70" s="6" t="s">
        <v>9</v>
      </c>
      <c r="C70" s="5" t="s">
        <v>103</v>
      </c>
      <c r="D70" s="36" t="s">
        <v>8</v>
      </c>
      <c r="E70" s="15">
        <v>46141</v>
      </c>
      <c r="F70" s="32" t="s">
        <v>34</v>
      </c>
      <c r="G70" s="33" t="s">
        <v>331</v>
      </c>
      <c r="H70" s="34">
        <f t="shared" si="2"/>
        <v>47236</v>
      </c>
      <c r="I70" s="32" t="s">
        <v>30</v>
      </c>
    </row>
    <row r="71" spans="2:9" ht="50" x14ac:dyDescent="0.25">
      <c r="B71" s="6" t="s">
        <v>96</v>
      </c>
      <c r="C71" s="5" t="s">
        <v>123</v>
      </c>
      <c r="D71" s="36" t="s">
        <v>3</v>
      </c>
      <c r="E71" s="15">
        <v>45078</v>
      </c>
      <c r="F71" s="32" t="s">
        <v>211</v>
      </c>
      <c r="G71" s="33" t="s">
        <v>212</v>
      </c>
      <c r="H71" s="34">
        <f t="shared" si="2"/>
        <v>46173</v>
      </c>
      <c r="I71" s="32" t="s">
        <v>30</v>
      </c>
    </row>
    <row r="72" spans="2:9" x14ac:dyDescent="0.25">
      <c r="B72" s="6" t="s">
        <v>97</v>
      </c>
      <c r="C72" s="5" t="s">
        <v>123</v>
      </c>
      <c r="D72" s="36" t="s">
        <v>8</v>
      </c>
      <c r="E72" s="15">
        <v>45147</v>
      </c>
      <c r="F72" s="32" t="s">
        <v>211</v>
      </c>
      <c r="G72" s="33" t="s">
        <v>227</v>
      </c>
      <c r="H72" s="34">
        <f t="shared" si="2"/>
        <v>46242</v>
      </c>
      <c r="I72" s="32" t="s">
        <v>30</v>
      </c>
    </row>
    <row r="73" spans="2:9" x14ac:dyDescent="0.25">
      <c r="B73" s="2" t="s">
        <v>10</v>
      </c>
      <c r="C73" s="5" t="s">
        <v>103</v>
      </c>
      <c r="D73" s="36" t="s">
        <v>8</v>
      </c>
      <c r="E73" s="15">
        <v>45863</v>
      </c>
      <c r="F73" s="32" t="s">
        <v>35</v>
      </c>
      <c r="G73" s="33" t="s">
        <v>302</v>
      </c>
      <c r="H73" s="34">
        <f t="shared" si="2"/>
        <v>46958</v>
      </c>
      <c r="I73" s="32" t="s">
        <v>30</v>
      </c>
    </row>
    <row r="74" spans="2:9" ht="50" x14ac:dyDescent="0.25">
      <c r="B74" s="6" t="s">
        <v>99</v>
      </c>
      <c r="C74" s="5" t="s">
        <v>123</v>
      </c>
      <c r="D74" s="36" t="s">
        <v>109</v>
      </c>
      <c r="E74" s="17">
        <v>45147</v>
      </c>
      <c r="F74" s="12" t="s">
        <v>211</v>
      </c>
      <c r="G74" s="46" t="s">
        <v>263</v>
      </c>
      <c r="H74" s="34">
        <f t="shared" si="2"/>
        <v>46242</v>
      </c>
      <c r="I74" s="32" t="s">
        <v>30</v>
      </c>
    </row>
    <row r="75" spans="2:9" ht="37.5" x14ac:dyDescent="0.25">
      <c r="B75" s="6" t="s">
        <v>100</v>
      </c>
      <c r="C75" s="5" t="s">
        <v>123</v>
      </c>
      <c r="D75" s="36" t="s">
        <v>3</v>
      </c>
      <c r="E75" s="17">
        <v>45147</v>
      </c>
      <c r="F75" s="12" t="s">
        <v>211</v>
      </c>
      <c r="G75" s="46" t="s">
        <v>226</v>
      </c>
      <c r="H75" s="34">
        <f t="shared" si="2"/>
        <v>46242</v>
      </c>
      <c r="I75" s="32" t="s">
        <v>30</v>
      </c>
    </row>
    <row r="76" spans="2:9" ht="75" x14ac:dyDescent="0.25">
      <c r="B76" s="2" t="s">
        <v>118</v>
      </c>
      <c r="C76" s="5" t="s">
        <v>105</v>
      </c>
      <c r="D76" s="36" t="s">
        <v>299</v>
      </c>
      <c r="E76" s="17">
        <v>45602</v>
      </c>
      <c r="F76" s="32" t="s">
        <v>192</v>
      </c>
      <c r="G76" s="33" t="s">
        <v>248</v>
      </c>
      <c r="H76" s="34">
        <f t="shared" si="2"/>
        <v>46697</v>
      </c>
      <c r="I76" s="32" t="s">
        <v>30</v>
      </c>
    </row>
    <row r="77" spans="2:9" ht="25" x14ac:dyDescent="0.25">
      <c r="B77" s="6" t="s">
        <v>101</v>
      </c>
      <c r="C77" s="5" t="s">
        <v>123</v>
      </c>
      <c r="D77" s="36" t="s">
        <v>3</v>
      </c>
      <c r="E77" s="15">
        <v>45377</v>
      </c>
      <c r="F77" s="32" t="s">
        <v>211</v>
      </c>
      <c r="G77" s="33" t="s">
        <v>238</v>
      </c>
      <c r="H77" s="34">
        <f t="shared" si="2"/>
        <v>46472</v>
      </c>
      <c r="I77" s="32" t="s">
        <v>30</v>
      </c>
    </row>
    <row r="78" spans="2:9" ht="25" x14ac:dyDescent="0.25">
      <c r="B78" s="6" t="s">
        <v>22</v>
      </c>
      <c r="C78" s="5" t="s">
        <v>103</v>
      </c>
      <c r="D78" s="36" t="s">
        <v>3</v>
      </c>
      <c r="E78" s="17">
        <v>45370</v>
      </c>
      <c r="F78" s="47" t="s">
        <v>264</v>
      </c>
      <c r="G78" s="46" t="s">
        <v>265</v>
      </c>
      <c r="H78" s="34">
        <f t="shared" si="2"/>
        <v>46465</v>
      </c>
      <c r="I78" s="32" t="s">
        <v>30</v>
      </c>
    </row>
    <row r="79" spans="2:9" x14ac:dyDescent="0.25">
      <c r="B79" s="6" t="s">
        <v>26</v>
      </c>
      <c r="C79" s="5" t="s">
        <v>103</v>
      </c>
      <c r="D79" s="36" t="s">
        <v>3</v>
      </c>
      <c r="E79" s="17">
        <v>45369</v>
      </c>
      <c r="F79" s="12" t="s">
        <v>33</v>
      </c>
      <c r="G79" s="46" t="s">
        <v>266</v>
      </c>
      <c r="H79" s="34">
        <f t="shared" si="2"/>
        <v>46464</v>
      </c>
      <c r="I79" s="32" t="s">
        <v>30</v>
      </c>
    </row>
    <row r="80" spans="2:9" x14ac:dyDescent="0.25">
      <c r="B80" s="6" t="s">
        <v>24</v>
      </c>
      <c r="C80" s="5" t="s">
        <v>103</v>
      </c>
      <c r="D80" s="36" t="s">
        <v>3</v>
      </c>
      <c r="E80" s="17">
        <v>45330</v>
      </c>
      <c r="F80" s="12" t="s">
        <v>35</v>
      </c>
      <c r="G80" s="46" t="s">
        <v>267</v>
      </c>
      <c r="H80" s="34">
        <f t="shared" si="2"/>
        <v>46425</v>
      </c>
      <c r="I80" s="32" t="s">
        <v>30</v>
      </c>
    </row>
    <row r="81" spans="1:9" ht="87.5" x14ac:dyDescent="0.25">
      <c r="B81" s="6" t="s">
        <v>25</v>
      </c>
      <c r="C81" s="5" t="s">
        <v>103</v>
      </c>
      <c r="D81" s="36" t="s">
        <v>108</v>
      </c>
      <c r="E81" s="17">
        <v>45736</v>
      </c>
      <c r="F81" s="12" t="s">
        <v>282</v>
      </c>
      <c r="G81" s="46" t="s">
        <v>283</v>
      </c>
      <c r="H81" s="34">
        <f t="shared" si="2"/>
        <v>46831</v>
      </c>
      <c r="I81" s="32" t="s">
        <v>30</v>
      </c>
    </row>
    <row r="82" spans="1:9" x14ac:dyDescent="0.25">
      <c r="B82" s="6" t="s">
        <v>37</v>
      </c>
      <c r="C82" s="5" t="s">
        <v>103</v>
      </c>
      <c r="D82" s="36" t="s">
        <v>3</v>
      </c>
      <c r="E82" s="34">
        <v>45890</v>
      </c>
      <c r="F82" s="32" t="s">
        <v>35</v>
      </c>
      <c r="G82" s="54" t="s">
        <v>303</v>
      </c>
      <c r="H82" s="34">
        <f t="shared" si="2"/>
        <v>46985</v>
      </c>
      <c r="I82" s="32" t="s">
        <v>30</v>
      </c>
    </row>
    <row r="83" spans="1:9" ht="34.5" x14ac:dyDescent="0.25">
      <c r="B83" s="6" t="s">
        <v>189</v>
      </c>
      <c r="C83" s="5" t="s">
        <v>105</v>
      </c>
      <c r="D83" s="36" t="s">
        <v>8</v>
      </c>
      <c r="E83" s="17">
        <v>45749</v>
      </c>
      <c r="F83" s="35" t="s">
        <v>234</v>
      </c>
      <c r="G83" s="56" t="s">
        <v>286</v>
      </c>
      <c r="H83" s="34">
        <f t="shared" si="2"/>
        <v>46844</v>
      </c>
      <c r="I83" s="32" t="s">
        <v>30</v>
      </c>
    </row>
    <row r="84" spans="1:9" x14ac:dyDescent="0.25">
      <c r="B84" s="6" t="s">
        <v>197</v>
      </c>
      <c r="C84" s="5" t="s">
        <v>105</v>
      </c>
      <c r="D84" s="36" t="s">
        <v>3</v>
      </c>
      <c r="E84" s="34">
        <v>46134</v>
      </c>
      <c r="F84" s="32" t="s">
        <v>192</v>
      </c>
      <c r="G84" s="33" t="s">
        <v>324</v>
      </c>
      <c r="H84" s="34">
        <f t="shared" si="2"/>
        <v>47229</v>
      </c>
      <c r="I84" s="32" t="s">
        <v>30</v>
      </c>
    </row>
    <row r="85" spans="1:9" x14ac:dyDescent="0.25">
      <c r="B85" s="6" t="s">
        <v>199</v>
      </c>
      <c r="C85" s="5" t="s">
        <v>105</v>
      </c>
      <c r="D85" s="36" t="s">
        <v>3</v>
      </c>
      <c r="E85" s="34">
        <v>46140</v>
      </c>
      <c r="F85" s="32" t="s">
        <v>321</v>
      </c>
      <c r="G85" s="33" t="s">
        <v>322</v>
      </c>
      <c r="H85" s="34">
        <f t="shared" si="2"/>
        <v>47235</v>
      </c>
      <c r="I85" s="32" t="s">
        <v>222</v>
      </c>
    </row>
    <row r="86" spans="1:9" x14ac:dyDescent="0.25">
      <c r="B86" s="6" t="s">
        <v>200</v>
      </c>
      <c r="C86" s="5" t="s">
        <v>105</v>
      </c>
      <c r="D86" s="59" t="s">
        <v>3</v>
      </c>
      <c r="E86" s="34">
        <v>46140</v>
      </c>
      <c r="F86" s="32" t="s">
        <v>321</v>
      </c>
      <c r="G86" s="33" t="s">
        <v>322</v>
      </c>
      <c r="H86" s="34">
        <f t="shared" si="2"/>
        <v>47235</v>
      </c>
      <c r="I86" s="32" t="s">
        <v>30</v>
      </c>
    </row>
    <row r="87" spans="1:9" x14ac:dyDescent="0.25">
      <c r="B87" s="6" t="s">
        <v>201</v>
      </c>
      <c r="C87" s="5" t="s">
        <v>105</v>
      </c>
      <c r="D87" s="59" t="s">
        <v>3</v>
      </c>
      <c r="E87" s="34">
        <v>46140</v>
      </c>
      <c r="F87" s="32" t="s">
        <v>321</v>
      </c>
      <c r="G87" s="33" t="s">
        <v>322</v>
      </c>
      <c r="H87" s="34">
        <f t="shared" si="2"/>
        <v>47235</v>
      </c>
      <c r="I87" s="32" t="s">
        <v>30</v>
      </c>
    </row>
    <row r="88" spans="1:9" x14ac:dyDescent="0.25">
      <c r="B88" s="6" t="s">
        <v>202</v>
      </c>
      <c r="C88" s="5" t="s">
        <v>105</v>
      </c>
      <c r="D88" s="59" t="s">
        <v>3</v>
      </c>
      <c r="E88" s="34">
        <v>46140</v>
      </c>
      <c r="F88" s="32" t="s">
        <v>321</v>
      </c>
      <c r="G88" s="33" t="s">
        <v>322</v>
      </c>
      <c r="H88" s="34">
        <f t="shared" si="2"/>
        <v>47235</v>
      </c>
      <c r="I88" s="32" t="s">
        <v>30</v>
      </c>
    </row>
    <row r="89" spans="1:9" ht="61.75" customHeight="1" x14ac:dyDescent="0.25">
      <c r="B89" s="39" t="s">
        <v>203</v>
      </c>
      <c r="C89" s="5" t="s">
        <v>105</v>
      </c>
      <c r="D89" s="36" t="s">
        <v>8</v>
      </c>
      <c r="E89" s="34">
        <v>46134</v>
      </c>
      <c r="F89" s="32" t="s">
        <v>192</v>
      </c>
      <c r="G89" s="33" t="s">
        <v>323</v>
      </c>
      <c r="H89" s="34">
        <f t="shared" si="2"/>
        <v>47229</v>
      </c>
      <c r="I89" s="32" t="s">
        <v>30</v>
      </c>
    </row>
    <row r="90" spans="1:9" x14ac:dyDescent="0.25">
      <c r="A90" s="60"/>
      <c r="B90" s="6" t="s">
        <v>204</v>
      </c>
      <c r="C90" s="5" t="s">
        <v>105</v>
      </c>
      <c r="D90" s="36" t="s">
        <v>5</v>
      </c>
      <c r="E90" s="34">
        <v>45100</v>
      </c>
      <c r="F90" s="32" t="s">
        <v>198</v>
      </c>
      <c r="G90" s="33" t="s">
        <v>39</v>
      </c>
      <c r="H90" s="34">
        <f t="shared" si="2"/>
        <v>46195</v>
      </c>
      <c r="I90" s="32" t="s">
        <v>30</v>
      </c>
    </row>
    <row r="91" spans="1:9" x14ac:dyDescent="0.25">
      <c r="B91" s="6" t="s">
        <v>206</v>
      </c>
      <c r="C91" s="5" t="s">
        <v>105</v>
      </c>
      <c r="D91" s="36" t="s">
        <v>32</v>
      </c>
      <c r="E91" s="34">
        <v>45546</v>
      </c>
      <c r="F91" s="12" t="s">
        <v>198</v>
      </c>
      <c r="G91" s="33" t="s">
        <v>245</v>
      </c>
      <c r="H91" s="34">
        <f t="shared" si="2"/>
        <v>46641</v>
      </c>
      <c r="I91" s="32" t="s">
        <v>30</v>
      </c>
    </row>
    <row r="92" spans="1:9" ht="37.5" x14ac:dyDescent="0.25">
      <c r="B92" s="6" t="s">
        <v>205</v>
      </c>
      <c r="C92" s="5" t="s">
        <v>105</v>
      </c>
      <c r="D92" s="36" t="s">
        <v>3</v>
      </c>
      <c r="E92" s="34">
        <v>45434</v>
      </c>
      <c r="F92" s="32" t="s">
        <v>192</v>
      </c>
      <c r="G92" s="33" t="s">
        <v>239</v>
      </c>
      <c r="H92" s="34">
        <f t="shared" si="2"/>
        <v>46529</v>
      </c>
      <c r="I92" s="32" t="s">
        <v>30</v>
      </c>
    </row>
    <row r="93" spans="1:9" x14ac:dyDescent="0.25">
      <c r="B93" s="6" t="s">
        <v>207</v>
      </c>
      <c r="C93" s="5" t="s">
        <v>105</v>
      </c>
      <c r="D93" s="36" t="s">
        <v>8</v>
      </c>
      <c r="E93" s="34">
        <v>46140</v>
      </c>
      <c r="F93" s="32" t="s">
        <v>321</v>
      </c>
      <c r="G93" s="33" t="s">
        <v>39</v>
      </c>
      <c r="H93" s="34">
        <f t="shared" si="2"/>
        <v>47235</v>
      </c>
      <c r="I93" s="32" t="s">
        <v>222</v>
      </c>
    </row>
    <row r="94" spans="1:9" x14ac:dyDescent="0.25">
      <c r="B94" s="6" t="s">
        <v>208</v>
      </c>
      <c r="C94" s="5" t="s">
        <v>105</v>
      </c>
      <c r="D94" s="36" t="s">
        <v>3</v>
      </c>
      <c r="E94" s="15">
        <v>46134</v>
      </c>
      <c r="F94" s="32" t="s">
        <v>247</v>
      </c>
      <c r="G94" s="33" t="s">
        <v>326</v>
      </c>
      <c r="H94" s="34">
        <f t="shared" si="2"/>
        <v>47229</v>
      </c>
      <c r="I94" s="32" t="s">
        <v>222</v>
      </c>
    </row>
    <row r="95" spans="1:9" ht="25" x14ac:dyDescent="0.25">
      <c r="B95" s="6" t="s">
        <v>209</v>
      </c>
      <c r="C95" s="5" t="s">
        <v>105</v>
      </c>
      <c r="D95" s="36" t="s">
        <v>8</v>
      </c>
      <c r="E95" s="34">
        <v>45749</v>
      </c>
      <c r="F95" s="35" t="s">
        <v>234</v>
      </c>
      <c r="G95" s="33" t="s">
        <v>284</v>
      </c>
      <c r="H95" s="34">
        <f t="shared" si="2"/>
        <v>46844</v>
      </c>
      <c r="I95" s="32" t="s">
        <v>30</v>
      </c>
    </row>
    <row r="96" spans="1:9" x14ac:dyDescent="0.25">
      <c r="B96" s="2" t="s">
        <v>214</v>
      </c>
      <c r="C96" s="5" t="s">
        <v>105</v>
      </c>
      <c r="D96" s="36" t="s">
        <v>5</v>
      </c>
      <c r="E96" s="34">
        <v>45132</v>
      </c>
      <c r="F96" s="32" t="s">
        <v>192</v>
      </c>
      <c r="G96" s="33" t="s">
        <v>39</v>
      </c>
      <c r="H96" s="34">
        <f t="shared" si="2"/>
        <v>46227</v>
      </c>
      <c r="I96" s="32" t="s">
        <v>30</v>
      </c>
    </row>
    <row r="97" spans="2:9" x14ac:dyDescent="0.25">
      <c r="B97" s="6" t="s">
        <v>246</v>
      </c>
      <c r="C97" s="5" t="s">
        <v>105</v>
      </c>
      <c r="D97" s="36" t="s">
        <v>3</v>
      </c>
      <c r="E97" s="34">
        <v>45625</v>
      </c>
      <c r="F97" s="32" t="s">
        <v>247</v>
      </c>
      <c r="G97" s="33" t="s">
        <v>251</v>
      </c>
      <c r="H97" s="34">
        <f t="shared" si="2"/>
        <v>46720</v>
      </c>
      <c r="I97" s="32" t="s">
        <v>30</v>
      </c>
    </row>
    <row r="98" spans="2:9" x14ac:dyDescent="0.25">
      <c r="B98" s="6" t="s">
        <v>268</v>
      </c>
      <c r="C98" s="5" t="s">
        <v>105</v>
      </c>
      <c r="D98" s="36" t="s">
        <v>5</v>
      </c>
      <c r="E98" s="34">
        <v>45702</v>
      </c>
      <c r="F98" s="32" t="s">
        <v>192</v>
      </c>
      <c r="G98" s="33" t="s">
        <v>39</v>
      </c>
      <c r="H98" s="34">
        <f t="shared" ref="H98:H102" si="3">IF(E98&lt;&gt;"",E98+1095,"")</f>
        <v>46797</v>
      </c>
      <c r="I98" s="32" t="s">
        <v>30</v>
      </c>
    </row>
    <row r="99" spans="2:9" ht="25" x14ac:dyDescent="0.25">
      <c r="B99" s="2" t="s">
        <v>279</v>
      </c>
      <c r="C99" s="5" t="s">
        <v>103</v>
      </c>
      <c r="D99" s="36" t="s">
        <v>8</v>
      </c>
      <c r="E99" s="34">
        <v>45896</v>
      </c>
      <c r="F99" s="32" t="s">
        <v>35</v>
      </c>
      <c r="G99" s="33" t="s">
        <v>304</v>
      </c>
      <c r="H99" s="34">
        <f t="shared" si="3"/>
        <v>46991</v>
      </c>
      <c r="I99" s="34" t="s">
        <v>30</v>
      </c>
    </row>
    <row r="100" spans="2:9" x14ac:dyDescent="0.25">
      <c r="B100" s="2" t="s">
        <v>280</v>
      </c>
      <c r="C100" s="5" t="s">
        <v>103</v>
      </c>
      <c r="D100" s="36" t="s">
        <v>5</v>
      </c>
      <c r="E100" s="34">
        <v>45741</v>
      </c>
      <c r="F100" s="32" t="s">
        <v>281</v>
      </c>
      <c r="G100" s="33" t="s">
        <v>39</v>
      </c>
      <c r="H100" s="34">
        <f t="shared" si="3"/>
        <v>46836</v>
      </c>
      <c r="I100" s="34" t="s">
        <v>30</v>
      </c>
    </row>
    <row r="101" spans="2:9" ht="37.5" x14ac:dyDescent="0.25">
      <c r="B101" s="2" t="s">
        <v>125</v>
      </c>
      <c r="C101" s="5" t="s">
        <v>126</v>
      </c>
      <c r="D101" s="36" t="s">
        <v>112</v>
      </c>
      <c r="E101" s="15">
        <v>45265</v>
      </c>
      <c r="F101" s="32" t="s">
        <v>233</v>
      </c>
      <c r="G101" s="33" t="s">
        <v>272</v>
      </c>
      <c r="H101" s="34">
        <f t="shared" si="3"/>
        <v>46360</v>
      </c>
      <c r="I101" s="32" t="s">
        <v>222</v>
      </c>
    </row>
    <row r="102" spans="2:9" ht="24.65" customHeight="1" x14ac:dyDescent="0.25">
      <c r="B102" s="2" t="s">
        <v>269</v>
      </c>
      <c r="C102" s="5" t="s">
        <v>126</v>
      </c>
      <c r="D102" s="36" t="s">
        <v>5</v>
      </c>
      <c r="E102" s="15">
        <v>45693</v>
      </c>
      <c r="F102" s="32" t="s">
        <v>270</v>
      </c>
      <c r="G102" s="33" t="s">
        <v>39</v>
      </c>
      <c r="H102" s="34">
        <f t="shared" si="3"/>
        <v>46788</v>
      </c>
      <c r="I102" s="32" t="s">
        <v>30</v>
      </c>
    </row>
    <row r="103" spans="2:9" ht="50" x14ac:dyDescent="0.25">
      <c r="B103" s="2" t="s">
        <v>124</v>
      </c>
      <c r="C103" s="5" t="s">
        <v>126</v>
      </c>
      <c r="D103" s="36" t="s">
        <v>111</v>
      </c>
      <c r="E103" s="15">
        <v>45261</v>
      </c>
      <c r="F103" s="32" t="s">
        <v>233</v>
      </c>
      <c r="G103" s="33" t="s">
        <v>271</v>
      </c>
      <c r="H103" s="34">
        <f>IF(E103&lt;&gt;"",E103+1095,"")</f>
        <v>46356</v>
      </c>
      <c r="I103" s="32" t="s">
        <v>222</v>
      </c>
    </row>
    <row r="104" spans="2:9" x14ac:dyDescent="0.25">
      <c r="B104" s="2" t="s">
        <v>315</v>
      </c>
      <c r="C104" s="5" t="s">
        <v>103</v>
      </c>
      <c r="D104" s="36">
        <v>1</v>
      </c>
      <c r="E104" s="15">
        <v>45881</v>
      </c>
      <c r="F104" s="32" t="s">
        <v>247</v>
      </c>
      <c r="G104" s="33" t="s">
        <v>39</v>
      </c>
      <c r="H104" s="34">
        <f>IF(E104&lt;&gt;"",E104+1095,"")</f>
        <v>46976</v>
      </c>
      <c r="I104" s="32" t="s">
        <v>222</v>
      </c>
    </row>
    <row r="105" spans="2:9" x14ac:dyDescent="0.25">
      <c r="B105" s="57" t="s">
        <v>319</v>
      </c>
      <c r="C105" s="5" t="s">
        <v>105</v>
      </c>
      <c r="D105" s="36" t="s">
        <v>5</v>
      </c>
      <c r="E105" s="15">
        <v>46003</v>
      </c>
      <c r="F105" s="32" t="s">
        <v>247</v>
      </c>
      <c r="G105" s="33" t="s">
        <v>39</v>
      </c>
      <c r="H105" s="34">
        <f>IF(E105&lt;&gt;"",E105+1095,"")</f>
        <v>47098</v>
      </c>
      <c r="I105" s="32" t="s">
        <v>222</v>
      </c>
    </row>
    <row r="106" spans="2:9" x14ac:dyDescent="0.25">
      <c r="B106" s="57" t="s">
        <v>332</v>
      </c>
      <c r="C106" s="5" t="s">
        <v>105</v>
      </c>
      <c r="D106" s="36" t="s">
        <v>5</v>
      </c>
      <c r="E106" s="15"/>
      <c r="F106" s="32" t="s">
        <v>247</v>
      </c>
      <c r="G106" s="33"/>
      <c r="H106" s="34" t="str">
        <f>IF(E106&lt;&gt;"",E106+1095,"")</f>
        <v/>
      </c>
      <c r="I106" s="32"/>
    </row>
    <row r="107" spans="2:9" x14ac:dyDescent="0.25">
      <c r="B107" s="66" t="s">
        <v>333</v>
      </c>
      <c r="C107" s="5" t="s">
        <v>105</v>
      </c>
      <c r="D107" s="36" t="s">
        <v>5</v>
      </c>
      <c r="E107" s="15">
        <v>46332</v>
      </c>
      <c r="F107" s="32" t="s">
        <v>247</v>
      </c>
      <c r="G107" s="33" t="s">
        <v>39</v>
      </c>
      <c r="H107" s="34">
        <f>IF(E107&lt;&gt;"",E107+1095,"")</f>
        <v>47427</v>
      </c>
      <c r="I107" s="32"/>
    </row>
  </sheetData>
  <autoFilter ref="B2:I107" xr:uid="{00000000-0001-0000-0000-000000000000}"/>
  <sortState xmlns:xlrd2="http://schemas.microsoft.com/office/spreadsheetml/2017/richdata2" ref="B5:I83">
    <sortCondition ref="B2:B83"/>
  </sortState>
  <mergeCells count="1">
    <mergeCell ref="B1:I1"/>
  </mergeCells>
  <phoneticPr fontId="16" type="noConversion"/>
  <conditionalFormatting sqref="H2:H1048576">
    <cfRule type="expression" dxfId="4" priority="7">
      <formula>$H2&lt;TODAY()</formula>
    </cfRule>
  </conditionalFormatting>
  <hyperlinks>
    <hyperlink ref="B3" r:id="rId1" xr:uid="{BF9BBCCD-C62D-4583-B079-2C1D622C505C}"/>
    <hyperlink ref="B36" r:id="rId2" xr:uid="{FF8C73F1-9EE4-4A14-A13B-A6EEE9B94F0A}"/>
    <hyperlink ref="B70" r:id="rId3" xr:uid="{D53C1F58-EFD1-47AA-B51E-B349A4B47CE9}"/>
    <hyperlink ref="B73" r:id="rId4" xr:uid="{02922680-EA60-429C-A1B7-780DB49258BA}"/>
    <hyperlink ref="B38" r:id="rId5" xr:uid="{4A52C634-ACD7-4CC0-8FAE-2E3BD2AF11B1}"/>
    <hyperlink ref="B40" r:id="rId6" xr:uid="{5B78669E-5132-4127-ACB7-B34E2681EF15}"/>
    <hyperlink ref="B41" r:id="rId7" xr:uid="{2432DCA2-CA81-4D75-A18F-473108524C76}"/>
    <hyperlink ref="B42" r:id="rId8" xr:uid="{3F17E950-27DB-4C9E-BC4F-2934BA577FC6}"/>
    <hyperlink ref="B43" r:id="rId9" xr:uid="{815D1CD6-3CB1-4932-BBEE-0BA93BCE1370}"/>
    <hyperlink ref="B57" r:id="rId10" xr:uid="{A738299C-F322-4A37-A502-B44BD15FFA8B}"/>
    <hyperlink ref="B61" r:id="rId11" xr:uid="{F0EA4E59-9C35-4FE9-89E8-F0F9D8E62B8D}"/>
    <hyperlink ref="B62" r:id="rId12" xr:uid="{5F5529E1-E71A-4CDF-9EDF-792C9B20F019}"/>
    <hyperlink ref="B67" r:id="rId13" xr:uid="{198983C5-E80A-430F-B3BD-7D733B5BB221}"/>
    <hyperlink ref="B78" r:id="rId14" xr:uid="{505BF71C-61D5-4928-99B5-54EE711C9B8E}"/>
    <hyperlink ref="B79" r:id="rId15" xr:uid="{A6931652-4168-4C26-A566-A7D94282E4D8}"/>
    <hyperlink ref="B80" r:id="rId16" xr:uid="{884D2E29-26D3-4A0A-86A0-102D8EA09888}"/>
    <hyperlink ref="B81" r:id="rId17" xr:uid="{A050F948-8C6D-487B-B9F4-FBA31AD1D312}"/>
    <hyperlink ref="B82" r:id="rId18" xr:uid="{C90FB198-7C1F-4257-B186-6561B4B58EC8}"/>
    <hyperlink ref="B4" r:id="rId19" display="003_CT_QMM1.3_Dıs Firma Kalibrasyonu" xr:uid="{6083C11C-EC09-4D92-B312-704EB791C261}"/>
    <hyperlink ref="B5" r:id="rId20" xr:uid="{899AECD1-57EA-48E8-9EF7-9EF1DD772195}"/>
    <hyperlink ref="B6" r:id="rId21" xr:uid="{41CF760F-9CEF-4BDB-B5A7-9D5619F3D89D}"/>
    <hyperlink ref="B8" r:id="rId22" xr:uid="{A18A9A9C-B90E-4EDD-806E-8D35D47E9250}"/>
    <hyperlink ref="B9" r:id="rId23" xr:uid="{0825B71C-F7E6-4969-A895-7B305D791FE4}"/>
    <hyperlink ref="B10" r:id="rId24" xr:uid="{BE0A06AB-1494-4EC2-B76E-34D0B5A713B2}"/>
    <hyperlink ref="B11" r:id="rId25" xr:uid="{A9B48F15-939F-4CAC-B197-B674B7E18B68}"/>
    <hyperlink ref="B12" r:id="rId26" xr:uid="{A5977C3C-2FCC-433B-8553-BF7718DA4357}"/>
    <hyperlink ref="B14" r:id="rId27" xr:uid="{1C3317F3-737C-4DAC-A8A6-34A93F4F5949}"/>
    <hyperlink ref="B15" r:id="rId28" xr:uid="{00DAC4A8-6D41-4750-A57B-1CF37C0BB764}"/>
    <hyperlink ref="B17" r:id="rId29" xr:uid="{7B2387EA-B040-4311-B171-BA2E4940B4E9}"/>
    <hyperlink ref="B19" r:id="rId30" xr:uid="{4F3ABF63-68AC-4E93-ACB4-F7870D9EA1B7}"/>
    <hyperlink ref="B20" r:id="rId31" xr:uid="{04465245-4200-4216-98EB-3D0BE7420B27}"/>
    <hyperlink ref="B21" r:id="rId32" xr:uid="{314C6394-D884-4D6A-BBC6-EC2112B1C460}"/>
    <hyperlink ref="B22" r:id="rId33" xr:uid="{294EAF29-9DB7-40B2-9775-81AB36CD7433}"/>
    <hyperlink ref="B23" r:id="rId34" xr:uid="{DBD45AEB-6A1D-482E-A06B-953A428510B9}"/>
    <hyperlink ref="B24" r:id="rId35" xr:uid="{12ECF780-120A-4C0F-A47E-A63E0A9D60AF}"/>
    <hyperlink ref="B25" r:id="rId36" xr:uid="{D42E3DF7-8335-4335-B389-723247DA6209}"/>
    <hyperlink ref="B26" r:id="rId37" xr:uid="{8DC0D2D9-85EB-4236-9D00-94AE795B2C7E}"/>
    <hyperlink ref="B27" r:id="rId38" xr:uid="{18892D65-B1C7-4CEE-9796-041989388B33}"/>
    <hyperlink ref="B30" r:id="rId39" xr:uid="{8012BF93-BD36-401A-8323-E0DF0CEEF4A7}"/>
    <hyperlink ref="B31" r:id="rId40" xr:uid="{69CCF5F0-C045-435E-BDAB-A0B83ABEA656}"/>
    <hyperlink ref="B44" r:id="rId41" xr:uid="{E5A406E6-D117-42BD-A359-E00276361775}"/>
    <hyperlink ref="B45" r:id="rId42" xr:uid="{08F26D59-1F54-4AE8-BE24-D77A702E034B}"/>
    <hyperlink ref="B46" r:id="rId43" xr:uid="{D7AA73C8-DC9A-44A2-AD08-6F87563115E4}"/>
    <hyperlink ref="B47" r:id="rId44" xr:uid="{0B0D1A5C-6C83-4AC9-B65D-2D42A8B63870}"/>
    <hyperlink ref="B48" r:id="rId45" xr:uid="{ECCF51F8-233F-4199-895A-50433DF2DFB2}"/>
    <hyperlink ref="B49" r:id="rId46" xr:uid="{2624A101-1B17-47B1-8BEB-CCF469250C41}"/>
    <hyperlink ref="B50" r:id="rId47" xr:uid="{0C7F65C7-817E-47B9-9EB5-53DBA287C909}"/>
    <hyperlink ref="B51" r:id="rId48" xr:uid="{C97E7CD2-3F35-41AE-BF8B-C35F4908BFFC}"/>
    <hyperlink ref="B52" r:id="rId49" xr:uid="{177C661D-D92E-4564-ACE7-E7DFC187D59A}"/>
    <hyperlink ref="B53" r:id="rId50" xr:uid="{AE7B73F0-A8E7-4847-A35F-1C2AE573514E}"/>
    <hyperlink ref="B54" r:id="rId51" xr:uid="{D2216643-C508-4BCE-B53D-8EFE39F0CFAD}"/>
    <hyperlink ref="B55" r:id="rId52" xr:uid="{459F8237-32F0-4F73-ABC3-7B30FC7EEF6C}"/>
    <hyperlink ref="B58" r:id="rId53" xr:uid="{2C4F98C5-4D54-481B-9FD9-E998B19B55DE}"/>
    <hyperlink ref="B16" r:id="rId54" xr:uid="{3F49A588-17B4-4178-BCFA-1B29068F7F11}"/>
    <hyperlink ref="B32" r:id="rId55" xr:uid="{A27B6F53-C341-4756-9751-75478F9FFD1D}"/>
    <hyperlink ref="B33" r:id="rId56" xr:uid="{6BF3781B-340A-4BB3-83A2-80B078F33FC6}"/>
    <hyperlink ref="B34" r:id="rId57" xr:uid="{5CEA55F7-F0A1-4D7E-8988-B1DE6B7E4453}"/>
    <hyperlink ref="B35" r:id="rId58" xr:uid="{B8C2F3E0-41E2-4D2D-9416-64A2EC82B7C1}"/>
    <hyperlink ref="B37" r:id="rId59" xr:uid="{529697F2-3EFC-4DC3-8D2F-93266F6CC108}"/>
    <hyperlink ref="B59" r:id="rId60" xr:uid="{C58D4AFC-7BBD-4B74-BB06-C5DBA577BDDD}"/>
    <hyperlink ref="B60" r:id="rId61" xr:uid="{9AAAD0F4-7537-4978-8C52-743247866B35}"/>
    <hyperlink ref="B69" r:id="rId62" xr:uid="{C6A3ED9E-1180-4F57-B23E-32E104C79828}"/>
    <hyperlink ref="B68" r:id="rId63" xr:uid="{55D5AF26-AC1B-47F0-95CC-9544675184E4}"/>
    <hyperlink ref="B71" r:id="rId64" xr:uid="{838CE925-B362-49B8-92AD-2EBD2A879728}"/>
    <hyperlink ref="B72" r:id="rId65" xr:uid="{9325E4CE-1FB1-4863-A0BE-9334F0235CF1}"/>
    <hyperlink ref="B74" r:id="rId66" xr:uid="{CC22DFAD-5966-48ED-820F-3CE70E120F2B}"/>
    <hyperlink ref="B75" r:id="rId67" xr:uid="{8E5F70C1-9DB4-4B4A-8D84-227E3CAE7000}"/>
    <hyperlink ref="B66" r:id="rId68" xr:uid="{458B8ACE-60A5-4BA3-B88B-F63B5B86FBC9}"/>
    <hyperlink ref="B77" r:id="rId69" xr:uid="{260C7BCF-899C-4483-B947-36E753014152}"/>
    <hyperlink ref="B76" r:id="rId70" xr:uid="{D3F95939-0833-4421-9EFB-4E51ECFC6A19}"/>
    <hyperlink ref="B104" r:id="rId71" xr:uid="{E400D433-39E2-4C37-93A2-E67537014C1C}"/>
    <hyperlink ref="B101" r:id="rId72" xr:uid="{3C554039-E582-43F2-8F8E-0A7977308665}"/>
    <hyperlink ref="B64" r:id="rId73" xr:uid="{9B5EF554-DBB0-41EF-881C-C9F520C54BC4}"/>
    <hyperlink ref="B7" r:id="rId74" xr:uid="{6579FD61-2B82-4DF6-AD6D-F9246477350A}"/>
    <hyperlink ref="B63" r:id="rId75" xr:uid="{2920388A-B723-491D-9191-A73FE0B8D61F}"/>
    <hyperlink ref="B65" r:id="rId76" xr:uid="{C2B01199-7848-4DA0-9A31-1E522B38FE6A}"/>
    <hyperlink ref="B96" r:id="rId77" xr:uid="{3F00D21A-2359-4F31-A223-46215E8D2CFB}"/>
    <hyperlink ref="B56" r:id="rId78" xr:uid="{1443FA1E-034C-4893-9BCA-AD474E293C2F}"/>
    <hyperlink ref="B18" r:id="rId79" display="038_CT_QMM1.3 Ürün Kontrol Talimatı (A Test)" xr:uid="{9F0534A2-85FF-4372-B7DC-DA7A5D3A3291}"/>
    <hyperlink ref="B102" r:id="rId80" xr:uid="{50C2CA52-01A9-41A6-91CD-0F3197BEE931}"/>
    <hyperlink ref="B100" r:id="rId81" xr:uid="{A0EF937F-5A19-4B05-897C-C1CFE83864BB}"/>
    <hyperlink ref="B99" r:id="rId82" xr:uid="{4A8F2ED4-3B66-428A-8326-691689A1F807}"/>
    <hyperlink ref="B39" r:id="rId83" display="javascript:WorkON.Util.downloadCfAttachFile(14564113,18702084,'069_CT_QMM9_S%C4%B1zd%C4%B1rmazl%C4%B1k_Test_stand%C4%B1_ver2.1.docx','READY')" xr:uid="{217EFF2A-CDF2-450B-9973-70AA1F1D14E5}"/>
    <hyperlink ref="B103" r:id="rId84" xr:uid="{9F75A1FD-BF32-4356-A8F7-5CFF412714D9}"/>
    <hyperlink ref="B13" r:id="rId85" xr:uid="{D407A61D-5355-4E69-A0D2-F059BDCC4F11}"/>
    <hyperlink ref="B105" r:id="rId86" xr:uid="{AF3709C7-E30F-4D9B-8B52-E12878416595}"/>
    <hyperlink ref="B29" r:id="rId87" xr:uid="{3DA5375C-7023-4BC3-A3DB-D410A54CF0A4}"/>
    <hyperlink ref="B28" r:id="rId88" xr:uid="{F9090BF1-2F4C-427F-AE75-8BD983110721}"/>
    <hyperlink ref="B106" r:id="rId89" xr:uid="{B122FF8D-6EBD-4CCF-A921-05F73270ED12}"/>
    <hyperlink ref="B107" r:id="rId90" xr:uid="{7B9609A2-F6F4-47EF-BC05-B520D35CDACF}"/>
  </hyperlinks>
  <pageMargins left="0.7" right="0.7" top="0.75" bottom="0.75" header="0.3" footer="0.3"/>
  <pageSetup paperSize="9" scale="32" orientation="portrait" r:id="rId91"/>
  <customProperties>
    <customPr name="_pios_id" r:id="rId92"/>
  </customProperties>
  <legacyDrawing r:id="rId9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EE130-1819-4963-8F0B-168345083A4C}">
  <sheetPr codeName="Sayfa2"/>
  <dimension ref="B1:I56"/>
  <sheetViews>
    <sheetView zoomScale="70" zoomScaleNormal="70" workbookViewId="0">
      <pane ySplit="2" topLeftCell="A35" activePane="bottomLeft" state="frozen"/>
      <selection pane="bottomLeft" activeCell="L54" sqref="L54"/>
    </sheetView>
  </sheetViews>
  <sheetFormatPr defaultColWidth="8.54296875" defaultRowHeight="12.5" x14ac:dyDescent="0.25"/>
  <cols>
    <col min="1" max="1" width="4" style="1" customWidth="1"/>
    <col min="2" max="2" width="74.453125" style="1" customWidth="1"/>
    <col min="3" max="3" width="12.453125" style="1" customWidth="1"/>
    <col min="4" max="5" width="23.54296875" style="1" customWidth="1"/>
    <col min="6" max="6" width="27.81640625" style="1" customWidth="1"/>
    <col min="7" max="7" width="22.54296875" style="1" bestFit="1" customWidth="1"/>
    <col min="8" max="8" width="33" style="1" bestFit="1" customWidth="1"/>
    <col min="9" max="9" width="26.54296875" style="1" bestFit="1" customWidth="1"/>
    <col min="10" max="16384" width="8.54296875" style="1"/>
  </cols>
  <sheetData>
    <row r="1" spans="2:9" ht="40.4" customHeight="1" x14ac:dyDescent="0.25">
      <c r="B1" s="70" t="s">
        <v>127</v>
      </c>
      <c r="C1" s="71"/>
      <c r="D1" s="71"/>
      <c r="E1" s="71"/>
      <c r="F1" s="71"/>
      <c r="G1" s="71"/>
      <c r="H1" s="71"/>
    </row>
    <row r="2" spans="2:9" ht="55.4" customHeight="1" x14ac:dyDescent="0.25">
      <c r="B2" s="13" t="s">
        <v>0</v>
      </c>
      <c r="C2" s="13" t="s">
        <v>102</v>
      </c>
      <c r="D2" s="14" t="s">
        <v>184</v>
      </c>
      <c r="E2" s="14" t="s">
        <v>185</v>
      </c>
      <c r="F2" s="14" t="s">
        <v>27</v>
      </c>
      <c r="G2" s="14" t="s">
        <v>183</v>
      </c>
      <c r="H2" s="14" t="s">
        <v>128</v>
      </c>
    </row>
    <row r="3" spans="2:9" ht="24.65" customHeight="1" x14ac:dyDescent="0.25">
      <c r="B3" s="49" t="s">
        <v>129</v>
      </c>
      <c r="C3" s="5" t="s">
        <v>123</v>
      </c>
      <c r="D3" s="7" t="s">
        <v>5</v>
      </c>
      <c r="E3" s="8">
        <v>41341</v>
      </c>
      <c r="F3" s="16" t="s">
        <v>120</v>
      </c>
      <c r="G3" s="17"/>
      <c r="H3" s="9" t="s">
        <v>186</v>
      </c>
      <c r="I3" s="18"/>
    </row>
    <row r="4" spans="2:9" ht="25.4" customHeight="1" x14ac:dyDescent="0.25">
      <c r="B4" s="49" t="s">
        <v>130</v>
      </c>
      <c r="C4" s="5" t="s">
        <v>123</v>
      </c>
      <c r="D4" s="7" t="s">
        <v>132</v>
      </c>
      <c r="E4" s="8">
        <v>42009</v>
      </c>
      <c r="F4" s="16" t="s">
        <v>131</v>
      </c>
      <c r="G4" s="17"/>
      <c r="H4" s="9" t="s">
        <v>186</v>
      </c>
      <c r="I4" s="18"/>
    </row>
    <row r="5" spans="2:9" ht="25.4" customHeight="1" x14ac:dyDescent="0.25">
      <c r="B5" s="49" t="s">
        <v>133</v>
      </c>
      <c r="C5" s="5" t="s">
        <v>103</v>
      </c>
      <c r="D5" s="7" t="s">
        <v>111</v>
      </c>
      <c r="E5" s="8">
        <v>41149</v>
      </c>
      <c r="F5" s="16" t="s">
        <v>134</v>
      </c>
      <c r="G5" s="17"/>
      <c r="H5" s="9" t="s">
        <v>186</v>
      </c>
      <c r="I5" s="18"/>
    </row>
    <row r="6" spans="2:9" ht="25.4" customHeight="1" x14ac:dyDescent="0.25">
      <c r="B6" s="49" t="s">
        <v>171</v>
      </c>
      <c r="C6" s="5" t="s">
        <v>103</v>
      </c>
      <c r="D6" s="7" t="s">
        <v>109</v>
      </c>
      <c r="E6" s="8">
        <v>43067</v>
      </c>
      <c r="F6" s="16" t="s">
        <v>142</v>
      </c>
      <c r="G6" s="17"/>
      <c r="H6" s="9" t="s">
        <v>186</v>
      </c>
      <c r="I6" s="18"/>
    </row>
    <row r="7" spans="2:9" ht="25.4" customHeight="1" x14ac:dyDescent="0.25">
      <c r="B7" s="49" t="s">
        <v>135</v>
      </c>
      <c r="C7" s="5" t="s">
        <v>103</v>
      </c>
      <c r="D7" s="7" t="s">
        <v>3</v>
      </c>
      <c r="E7" s="8">
        <v>41149</v>
      </c>
      <c r="F7" s="16" t="s">
        <v>134</v>
      </c>
      <c r="G7" s="17"/>
      <c r="H7" s="9" t="s">
        <v>186</v>
      </c>
      <c r="I7" s="18"/>
    </row>
    <row r="8" spans="2:9" ht="25.4" customHeight="1" x14ac:dyDescent="0.25">
      <c r="B8" s="49" t="s">
        <v>172</v>
      </c>
      <c r="C8" s="5" t="s">
        <v>103</v>
      </c>
      <c r="D8" s="7" t="s">
        <v>23</v>
      </c>
      <c r="E8" s="8">
        <v>41149</v>
      </c>
      <c r="F8" s="16" t="s">
        <v>147</v>
      </c>
      <c r="G8" s="17"/>
      <c r="H8" s="9" t="s">
        <v>186</v>
      </c>
      <c r="I8" s="18"/>
    </row>
    <row r="9" spans="2:9" ht="25.4" customHeight="1" x14ac:dyDescent="0.25">
      <c r="B9" s="49" t="s">
        <v>136</v>
      </c>
      <c r="C9" s="5" t="s">
        <v>103</v>
      </c>
      <c r="D9" s="7" t="s">
        <v>108</v>
      </c>
      <c r="E9" s="8">
        <v>41505</v>
      </c>
      <c r="F9" s="16" t="s">
        <v>134</v>
      </c>
      <c r="G9" s="17"/>
      <c r="H9" s="9" t="s">
        <v>186</v>
      </c>
      <c r="I9" s="19"/>
    </row>
    <row r="10" spans="2:9" ht="25.4" customHeight="1" x14ac:dyDescent="0.25">
      <c r="B10" s="49" t="s">
        <v>140</v>
      </c>
      <c r="C10" s="5" t="s">
        <v>103</v>
      </c>
      <c r="D10" s="7" t="s">
        <v>23</v>
      </c>
      <c r="E10" s="8">
        <v>43067</v>
      </c>
      <c r="F10" s="16" t="s">
        <v>141</v>
      </c>
      <c r="G10" s="17"/>
      <c r="H10" s="9" t="s">
        <v>186</v>
      </c>
      <c r="I10" s="19"/>
    </row>
    <row r="11" spans="2:9" ht="25.4" customHeight="1" x14ac:dyDescent="0.25">
      <c r="B11" s="49" t="s">
        <v>154</v>
      </c>
      <c r="C11" s="5" t="s">
        <v>105</v>
      </c>
      <c r="D11" s="7" t="s">
        <v>110</v>
      </c>
      <c r="E11" s="8">
        <v>42431</v>
      </c>
      <c r="F11" s="16" t="s">
        <v>137</v>
      </c>
      <c r="G11" s="17">
        <v>43012</v>
      </c>
      <c r="H11" s="20" t="s">
        <v>188</v>
      </c>
      <c r="I11" s="18"/>
    </row>
    <row r="12" spans="2:9" ht="25.4" customHeight="1" x14ac:dyDescent="0.25">
      <c r="B12" s="49" t="s">
        <v>138</v>
      </c>
      <c r="C12" s="5" t="s">
        <v>105</v>
      </c>
      <c r="D12" s="7" t="s">
        <v>23</v>
      </c>
      <c r="E12" s="8">
        <v>41640</v>
      </c>
      <c r="F12" s="16" t="s">
        <v>139</v>
      </c>
      <c r="G12" s="17"/>
      <c r="H12" s="9" t="s">
        <v>186</v>
      </c>
      <c r="I12" s="19"/>
    </row>
    <row r="13" spans="2:9" ht="25.4" customHeight="1" x14ac:dyDescent="0.25">
      <c r="B13" s="49" t="s">
        <v>143</v>
      </c>
      <c r="C13" s="5" t="s">
        <v>103</v>
      </c>
      <c r="D13" s="7" t="s">
        <v>23</v>
      </c>
      <c r="E13" s="8">
        <v>43067</v>
      </c>
      <c r="F13" s="16" t="s">
        <v>141</v>
      </c>
      <c r="G13" s="17"/>
      <c r="H13" s="9" t="s">
        <v>186</v>
      </c>
      <c r="I13" s="19"/>
    </row>
    <row r="14" spans="2:9" ht="25.4" customHeight="1" x14ac:dyDescent="0.25">
      <c r="B14" s="49" t="s">
        <v>181</v>
      </c>
      <c r="C14" s="5" t="s">
        <v>105</v>
      </c>
      <c r="D14" s="7" t="s">
        <v>23</v>
      </c>
      <c r="E14" s="8">
        <v>41699</v>
      </c>
      <c r="F14" s="16" t="s">
        <v>139</v>
      </c>
      <c r="G14" s="17"/>
      <c r="H14" s="9" t="s">
        <v>186</v>
      </c>
      <c r="I14" s="18"/>
    </row>
    <row r="15" spans="2:9" ht="25.4" customHeight="1" x14ac:dyDescent="0.25">
      <c r="B15" s="49" t="s">
        <v>173</v>
      </c>
      <c r="C15" s="5" t="s">
        <v>103</v>
      </c>
      <c r="D15" s="7" t="s">
        <v>23</v>
      </c>
      <c r="E15" s="8">
        <v>43067</v>
      </c>
      <c r="F15" s="16" t="s">
        <v>147</v>
      </c>
      <c r="G15" s="17"/>
      <c r="H15" s="9" t="s">
        <v>186</v>
      </c>
      <c r="I15" s="18"/>
    </row>
    <row r="16" spans="2:9" ht="25.4" customHeight="1" x14ac:dyDescent="0.25">
      <c r="B16" s="49" t="s">
        <v>144</v>
      </c>
      <c r="C16" s="5" t="s">
        <v>105</v>
      </c>
      <c r="D16" s="7" t="s">
        <v>23</v>
      </c>
      <c r="E16" s="8">
        <v>41699</v>
      </c>
      <c r="F16" s="16" t="s">
        <v>139</v>
      </c>
      <c r="G16" s="17"/>
      <c r="H16" s="9" t="s">
        <v>186</v>
      </c>
      <c r="I16" s="18"/>
    </row>
    <row r="17" spans="2:9" ht="25.4" customHeight="1" x14ac:dyDescent="0.25">
      <c r="B17" s="49" t="s">
        <v>174</v>
      </c>
      <c r="C17" s="5" t="s">
        <v>103</v>
      </c>
      <c r="D17" s="7" t="s">
        <v>23</v>
      </c>
      <c r="E17" s="8">
        <v>43067</v>
      </c>
      <c r="F17" s="16" t="s">
        <v>147</v>
      </c>
      <c r="G17" s="17"/>
      <c r="H17" s="9" t="s">
        <v>186</v>
      </c>
      <c r="I17" s="18"/>
    </row>
    <row r="18" spans="2:9" ht="25.4" customHeight="1" x14ac:dyDescent="0.25">
      <c r="B18" s="49" t="s">
        <v>145</v>
      </c>
      <c r="C18" s="5" t="s">
        <v>103</v>
      </c>
      <c r="D18" s="7" t="s">
        <v>5</v>
      </c>
      <c r="E18" s="8">
        <v>39817</v>
      </c>
      <c r="F18" s="16" t="s">
        <v>131</v>
      </c>
      <c r="G18" s="17"/>
      <c r="H18" s="9" t="s">
        <v>186</v>
      </c>
      <c r="I18" s="18"/>
    </row>
    <row r="19" spans="2:9" ht="25.4" customHeight="1" x14ac:dyDescent="0.25">
      <c r="B19" s="49" t="s">
        <v>175</v>
      </c>
      <c r="C19" s="5" t="s">
        <v>103</v>
      </c>
      <c r="D19" s="7" t="s">
        <v>23</v>
      </c>
      <c r="E19" s="8">
        <v>43067</v>
      </c>
      <c r="F19" s="16" t="s">
        <v>141</v>
      </c>
      <c r="G19" s="17"/>
      <c r="H19" s="9" t="s">
        <v>186</v>
      </c>
      <c r="I19" s="18"/>
    </row>
    <row r="20" spans="2:9" ht="25.4" customHeight="1" x14ac:dyDescent="0.25">
      <c r="B20" s="49" t="s">
        <v>146</v>
      </c>
      <c r="C20" s="5" t="s">
        <v>103</v>
      </c>
      <c r="D20" s="7" t="s">
        <v>23</v>
      </c>
      <c r="E20" s="8">
        <v>41753</v>
      </c>
      <c r="F20" s="16" t="s">
        <v>134</v>
      </c>
      <c r="G20" s="17"/>
      <c r="H20" s="9" t="s">
        <v>186</v>
      </c>
      <c r="I20" s="18"/>
    </row>
    <row r="21" spans="2:9" ht="25.4" customHeight="1" x14ac:dyDescent="0.25">
      <c r="B21" s="49" t="s">
        <v>148</v>
      </c>
      <c r="C21" s="5" t="s">
        <v>103</v>
      </c>
      <c r="D21" s="7" t="s">
        <v>23</v>
      </c>
      <c r="E21" s="8">
        <v>43067</v>
      </c>
      <c r="F21" s="16" t="s">
        <v>147</v>
      </c>
      <c r="G21" s="17"/>
      <c r="H21" s="9" t="s">
        <v>186</v>
      </c>
      <c r="I21" s="18"/>
    </row>
    <row r="22" spans="2:9" ht="24.65" customHeight="1" x14ac:dyDescent="0.25">
      <c r="B22" s="49" t="s">
        <v>149</v>
      </c>
      <c r="C22" s="5" t="s">
        <v>103</v>
      </c>
      <c r="D22" s="7" t="s">
        <v>23</v>
      </c>
      <c r="E22" s="8">
        <v>43067</v>
      </c>
      <c r="F22" s="16" t="s">
        <v>147</v>
      </c>
      <c r="G22" s="17"/>
      <c r="H22" s="9" t="s">
        <v>186</v>
      </c>
      <c r="I22" s="18"/>
    </row>
    <row r="23" spans="2:9" ht="25.4" customHeight="1" x14ac:dyDescent="0.25">
      <c r="B23" s="49" t="s">
        <v>150</v>
      </c>
      <c r="C23" s="5" t="s">
        <v>103</v>
      </c>
      <c r="D23" s="7" t="s">
        <v>5</v>
      </c>
      <c r="E23" s="8">
        <v>41487</v>
      </c>
      <c r="F23" s="16" t="s">
        <v>151</v>
      </c>
      <c r="G23" s="17"/>
      <c r="H23" s="9" t="s">
        <v>186</v>
      </c>
      <c r="I23" s="18"/>
    </row>
    <row r="24" spans="2:9" ht="25.4" customHeight="1" x14ac:dyDescent="0.25">
      <c r="B24" s="49" t="s">
        <v>152</v>
      </c>
      <c r="C24" s="5" t="s">
        <v>103</v>
      </c>
      <c r="D24" s="7" t="s">
        <v>23</v>
      </c>
      <c r="E24" s="8">
        <v>43067</v>
      </c>
      <c r="F24" s="16" t="s">
        <v>147</v>
      </c>
      <c r="G24" s="17"/>
      <c r="H24" s="9" t="s">
        <v>186</v>
      </c>
      <c r="I24" s="18"/>
    </row>
    <row r="25" spans="2:9" ht="25.4" customHeight="1" x14ac:dyDescent="0.25">
      <c r="B25" s="49" t="s">
        <v>153</v>
      </c>
      <c r="C25" s="5" t="s">
        <v>103</v>
      </c>
      <c r="D25" s="7" t="s">
        <v>23</v>
      </c>
      <c r="E25" s="8">
        <v>43067</v>
      </c>
      <c r="F25" s="16" t="s">
        <v>147</v>
      </c>
      <c r="G25" s="17"/>
      <c r="H25" s="9" t="s">
        <v>186</v>
      </c>
      <c r="I25" s="18"/>
    </row>
    <row r="26" spans="2:9" ht="25.4" customHeight="1" x14ac:dyDescent="0.25">
      <c r="B26" s="49" t="s">
        <v>155</v>
      </c>
      <c r="C26" s="5" t="s">
        <v>103</v>
      </c>
      <c r="D26" s="7" t="s">
        <v>23</v>
      </c>
      <c r="E26" s="8">
        <v>43067</v>
      </c>
      <c r="F26" s="16" t="s">
        <v>141</v>
      </c>
      <c r="G26" s="17"/>
      <c r="H26" s="9" t="s">
        <v>186</v>
      </c>
      <c r="I26" s="18"/>
    </row>
    <row r="27" spans="2:9" ht="25.4" customHeight="1" x14ac:dyDescent="0.25">
      <c r="B27" s="49" t="s">
        <v>165</v>
      </c>
      <c r="C27" s="5" t="s">
        <v>105</v>
      </c>
      <c r="D27" s="7" t="s">
        <v>32</v>
      </c>
      <c r="E27" s="8">
        <v>43320</v>
      </c>
      <c r="F27" s="16" t="s">
        <v>29</v>
      </c>
      <c r="G27" s="17"/>
      <c r="H27" s="9" t="s">
        <v>186</v>
      </c>
      <c r="I27" s="18"/>
    </row>
    <row r="28" spans="2:9" ht="25.4" customHeight="1" x14ac:dyDescent="0.25">
      <c r="B28" s="49" t="s">
        <v>156</v>
      </c>
      <c r="C28" s="5" t="s">
        <v>103</v>
      </c>
      <c r="D28" s="7" t="s">
        <v>23</v>
      </c>
      <c r="E28" s="8">
        <v>43067</v>
      </c>
      <c r="F28" s="16" t="s">
        <v>34</v>
      </c>
      <c r="G28" s="17"/>
      <c r="H28" s="9" t="s">
        <v>186</v>
      </c>
      <c r="I28" s="18"/>
    </row>
    <row r="29" spans="2:9" ht="25.4" customHeight="1" x14ac:dyDescent="0.25">
      <c r="B29" s="49" t="s">
        <v>157</v>
      </c>
      <c r="C29" s="5" t="s">
        <v>104</v>
      </c>
      <c r="D29" s="7" t="s">
        <v>5</v>
      </c>
      <c r="E29" s="8">
        <v>41754</v>
      </c>
      <c r="F29" s="16" t="s">
        <v>131</v>
      </c>
      <c r="G29" s="17"/>
      <c r="H29" s="9" t="s">
        <v>186</v>
      </c>
      <c r="I29" s="18"/>
    </row>
    <row r="30" spans="2:9" ht="25.4" customHeight="1" x14ac:dyDescent="0.25">
      <c r="B30" s="49" t="s">
        <v>158</v>
      </c>
      <c r="C30" s="5" t="s">
        <v>105</v>
      </c>
      <c r="D30" s="11" t="s">
        <v>40</v>
      </c>
      <c r="E30" s="8">
        <v>42027</v>
      </c>
      <c r="F30" s="16" t="s">
        <v>137</v>
      </c>
      <c r="G30" s="17"/>
      <c r="H30" s="9" t="s">
        <v>186</v>
      </c>
      <c r="I30" s="18"/>
    </row>
    <row r="31" spans="2:9" ht="25.4" customHeight="1" x14ac:dyDescent="0.25">
      <c r="B31" s="49" t="s">
        <v>176</v>
      </c>
      <c r="C31" s="5" t="s">
        <v>103</v>
      </c>
      <c r="D31" s="7" t="s">
        <v>109</v>
      </c>
      <c r="E31" s="8">
        <v>43067</v>
      </c>
      <c r="F31" s="16" t="s">
        <v>34</v>
      </c>
      <c r="G31" s="17"/>
      <c r="H31" s="9" t="s">
        <v>186</v>
      </c>
      <c r="I31" s="18"/>
    </row>
    <row r="32" spans="2:9" ht="25.4" customHeight="1" x14ac:dyDescent="0.25">
      <c r="B32" s="49" t="s">
        <v>164</v>
      </c>
      <c r="C32" s="5" t="s">
        <v>105</v>
      </c>
      <c r="D32" s="7" t="s">
        <v>109</v>
      </c>
      <c r="E32" s="8">
        <v>42853</v>
      </c>
      <c r="F32" s="16" t="s">
        <v>137</v>
      </c>
      <c r="G32" s="17">
        <v>43993</v>
      </c>
      <c r="H32" s="20" t="s">
        <v>188</v>
      </c>
      <c r="I32" s="18"/>
    </row>
    <row r="33" spans="2:9" ht="25.4" customHeight="1" x14ac:dyDescent="0.25">
      <c r="B33" s="49" t="s">
        <v>159</v>
      </c>
      <c r="C33" s="5" t="s">
        <v>123</v>
      </c>
      <c r="D33" s="7" t="s">
        <v>8</v>
      </c>
      <c r="E33" s="8">
        <v>43292</v>
      </c>
      <c r="F33" s="21" t="s">
        <v>160</v>
      </c>
      <c r="G33" s="17"/>
      <c r="H33" s="9" t="s">
        <v>186</v>
      </c>
      <c r="I33" s="18"/>
    </row>
    <row r="34" spans="2:9" ht="25.4" customHeight="1" x14ac:dyDescent="0.25">
      <c r="B34" s="49" t="s">
        <v>163</v>
      </c>
      <c r="C34" s="5" t="s">
        <v>105</v>
      </c>
      <c r="D34" s="7" t="s">
        <v>3</v>
      </c>
      <c r="E34" s="8">
        <v>42901</v>
      </c>
      <c r="F34" s="12" t="s">
        <v>113</v>
      </c>
      <c r="G34" s="17">
        <v>43994</v>
      </c>
      <c r="H34" s="20" t="s">
        <v>188</v>
      </c>
      <c r="I34" s="18"/>
    </row>
    <row r="35" spans="2:9" ht="25.4" customHeight="1" x14ac:dyDescent="0.25">
      <c r="B35" s="49" t="s">
        <v>161</v>
      </c>
      <c r="C35" s="21" t="s">
        <v>40</v>
      </c>
      <c r="D35" s="21" t="s">
        <v>40</v>
      </c>
      <c r="E35" s="8" t="s">
        <v>40</v>
      </c>
      <c r="F35" s="21" t="s">
        <v>40</v>
      </c>
      <c r="G35" s="21" t="s">
        <v>40</v>
      </c>
      <c r="H35" s="22" t="s">
        <v>40</v>
      </c>
      <c r="I35" s="23" t="s">
        <v>187</v>
      </c>
    </row>
    <row r="36" spans="2:9" ht="25.4" customHeight="1" x14ac:dyDescent="0.25">
      <c r="B36" s="49" t="s">
        <v>162</v>
      </c>
      <c r="C36" s="5" t="s">
        <v>123</v>
      </c>
      <c r="D36" s="7" t="s">
        <v>108</v>
      </c>
      <c r="E36" s="8">
        <v>43381</v>
      </c>
      <c r="F36" s="21" t="s">
        <v>160</v>
      </c>
      <c r="G36" s="17"/>
      <c r="H36" s="9" t="s">
        <v>186</v>
      </c>
      <c r="I36" s="18"/>
    </row>
    <row r="37" spans="2:9" ht="25.4" customHeight="1" x14ac:dyDescent="0.25">
      <c r="B37" s="49" t="s">
        <v>166</v>
      </c>
      <c r="C37" s="5" t="s">
        <v>103</v>
      </c>
      <c r="D37" s="7" t="s">
        <v>23</v>
      </c>
      <c r="E37" s="8">
        <v>43067</v>
      </c>
      <c r="F37" s="12" t="s">
        <v>147</v>
      </c>
      <c r="G37" s="17"/>
      <c r="H37" s="9" t="s">
        <v>186</v>
      </c>
      <c r="I37" s="18"/>
    </row>
    <row r="38" spans="2:9" ht="25.4" customHeight="1" x14ac:dyDescent="0.25">
      <c r="B38" s="49" t="s">
        <v>167</v>
      </c>
      <c r="C38" s="5" t="s">
        <v>103</v>
      </c>
      <c r="D38" s="7" t="s">
        <v>23</v>
      </c>
      <c r="E38" s="8">
        <v>43067</v>
      </c>
      <c r="F38" s="12" t="s">
        <v>141</v>
      </c>
      <c r="G38" s="17"/>
      <c r="H38" s="9" t="s">
        <v>186</v>
      </c>
      <c r="I38" s="18"/>
    </row>
    <row r="39" spans="2:9" ht="24.65" customHeight="1" x14ac:dyDescent="0.25">
      <c r="B39" s="49" t="s">
        <v>168</v>
      </c>
      <c r="C39" s="5" t="s">
        <v>103</v>
      </c>
      <c r="D39" s="7" t="s">
        <v>23</v>
      </c>
      <c r="E39" s="8">
        <v>43067</v>
      </c>
      <c r="F39" s="12" t="s">
        <v>141</v>
      </c>
      <c r="G39" s="17"/>
      <c r="H39" s="9" t="s">
        <v>186</v>
      </c>
      <c r="I39" s="18"/>
    </row>
    <row r="40" spans="2:9" ht="24.65" customHeight="1" x14ac:dyDescent="0.25">
      <c r="B40" s="49" t="s">
        <v>169</v>
      </c>
      <c r="C40" s="5" t="s">
        <v>103</v>
      </c>
      <c r="D40" s="7" t="s">
        <v>23</v>
      </c>
      <c r="E40" s="8">
        <v>43067</v>
      </c>
      <c r="F40" s="21" t="s">
        <v>34</v>
      </c>
      <c r="G40" s="17">
        <v>44097</v>
      </c>
      <c r="H40" s="9" t="s">
        <v>186</v>
      </c>
      <c r="I40" s="19"/>
    </row>
    <row r="41" spans="2:9" ht="25.4" customHeight="1" x14ac:dyDescent="0.25">
      <c r="B41" s="49" t="s">
        <v>180</v>
      </c>
      <c r="C41" s="5" t="s">
        <v>105</v>
      </c>
      <c r="D41" s="7" t="s">
        <v>8</v>
      </c>
      <c r="E41" s="8">
        <v>43717</v>
      </c>
      <c r="F41" s="21" t="s">
        <v>114</v>
      </c>
      <c r="G41" s="17"/>
      <c r="H41" s="9" t="s">
        <v>186</v>
      </c>
      <c r="I41" s="18"/>
    </row>
    <row r="42" spans="2:9" ht="25.4" customHeight="1" x14ac:dyDescent="0.25">
      <c r="B42" s="49" t="s">
        <v>179</v>
      </c>
      <c r="C42" s="5" t="s">
        <v>105</v>
      </c>
      <c r="D42" s="7" t="s">
        <v>23</v>
      </c>
      <c r="E42" s="8">
        <v>43584</v>
      </c>
      <c r="F42" s="21" t="s">
        <v>40</v>
      </c>
      <c r="G42" s="17"/>
      <c r="H42" s="9" t="s">
        <v>186</v>
      </c>
      <c r="I42" s="18"/>
    </row>
    <row r="43" spans="2:9" ht="25.4" customHeight="1" x14ac:dyDescent="0.25">
      <c r="B43" s="49" t="s">
        <v>178</v>
      </c>
      <c r="C43" s="5" t="s">
        <v>105</v>
      </c>
      <c r="D43" s="11" t="s">
        <v>5</v>
      </c>
      <c r="E43" s="8">
        <v>43412</v>
      </c>
      <c r="F43" s="21" t="s">
        <v>170</v>
      </c>
      <c r="G43" s="17"/>
      <c r="H43" s="9" t="s">
        <v>186</v>
      </c>
      <c r="I43" s="18"/>
    </row>
    <row r="44" spans="2:9" ht="25.4" customHeight="1" x14ac:dyDescent="0.25">
      <c r="B44" s="49" t="s">
        <v>177</v>
      </c>
      <c r="C44" s="5" t="s">
        <v>105</v>
      </c>
      <c r="D44" s="11" t="s">
        <v>5</v>
      </c>
      <c r="E44" s="8">
        <v>43651</v>
      </c>
      <c r="F44" s="12" t="s">
        <v>114</v>
      </c>
      <c r="G44" s="17">
        <v>43994</v>
      </c>
      <c r="H44" s="20" t="s">
        <v>188</v>
      </c>
      <c r="I44" s="18"/>
    </row>
    <row r="45" spans="2:9" ht="25.4" customHeight="1" x14ac:dyDescent="0.25">
      <c r="B45" s="49" t="s">
        <v>182</v>
      </c>
      <c r="C45" s="5" t="s">
        <v>105</v>
      </c>
      <c r="D45" s="7" t="s">
        <v>31</v>
      </c>
      <c r="E45" s="8">
        <v>44342</v>
      </c>
      <c r="F45" s="21" t="s">
        <v>113</v>
      </c>
      <c r="G45" s="17"/>
      <c r="H45" s="9" t="s">
        <v>186</v>
      </c>
      <c r="I45" s="18"/>
    </row>
    <row r="46" spans="2:9" ht="25.4" customHeight="1" x14ac:dyDescent="0.25">
      <c r="B46" s="49" t="s">
        <v>21</v>
      </c>
      <c r="C46" s="5" t="s">
        <v>103</v>
      </c>
      <c r="D46" s="7" t="s">
        <v>23</v>
      </c>
      <c r="E46" s="8">
        <v>44104</v>
      </c>
      <c r="F46" s="21" t="s">
        <v>29</v>
      </c>
      <c r="G46" s="17">
        <v>44694</v>
      </c>
      <c r="H46" s="9" t="s">
        <v>188</v>
      </c>
      <c r="I46" s="18"/>
    </row>
    <row r="47" spans="2:9" s="3" customFormat="1" ht="25.4" customHeight="1" x14ac:dyDescent="0.25">
      <c r="B47" s="49" t="s">
        <v>89</v>
      </c>
      <c r="C47" s="5" t="s">
        <v>123</v>
      </c>
      <c r="D47" s="7" t="s">
        <v>112</v>
      </c>
      <c r="E47" s="15">
        <v>44007</v>
      </c>
      <c r="F47" s="9" t="s">
        <v>121</v>
      </c>
      <c r="G47" s="10"/>
      <c r="H47" s="9"/>
    </row>
    <row r="48" spans="2:9" ht="21" customHeight="1" x14ac:dyDescent="0.25">
      <c r="B48" s="49" t="s">
        <v>98</v>
      </c>
      <c r="C48" s="5" t="s">
        <v>123</v>
      </c>
      <c r="D48" s="11" t="s">
        <v>5</v>
      </c>
      <c r="E48" s="15">
        <v>43919</v>
      </c>
      <c r="F48" s="9" t="s">
        <v>120</v>
      </c>
      <c r="G48" s="10"/>
      <c r="H48" s="9" t="s">
        <v>30</v>
      </c>
    </row>
    <row r="49" spans="2:9" ht="15.65" customHeight="1" x14ac:dyDescent="0.25">
      <c r="B49" s="49" t="s">
        <v>81</v>
      </c>
      <c r="C49" s="5" t="s">
        <v>105</v>
      </c>
      <c r="D49" s="11" t="s">
        <v>5</v>
      </c>
      <c r="E49" s="15">
        <v>43654</v>
      </c>
      <c r="F49" s="9" t="s">
        <v>198</v>
      </c>
      <c r="G49" s="24">
        <v>45132</v>
      </c>
      <c r="H49" s="27" t="s">
        <v>188</v>
      </c>
    </row>
    <row r="50" spans="2:9" ht="33.75" customHeight="1" x14ac:dyDescent="0.25">
      <c r="B50" s="49" t="s">
        <v>41</v>
      </c>
      <c r="C50" s="5" t="s">
        <v>105</v>
      </c>
      <c r="D50" s="11" t="s">
        <v>107</v>
      </c>
      <c r="E50" s="15">
        <v>44041</v>
      </c>
      <c r="F50" s="9" t="s">
        <v>113</v>
      </c>
      <c r="G50" s="26">
        <v>45132</v>
      </c>
      <c r="H50" s="8" t="s">
        <v>188</v>
      </c>
      <c r="I50" s="25"/>
    </row>
    <row r="51" spans="2:9" s="3" customFormat="1" ht="25.4" customHeight="1" x14ac:dyDescent="0.25">
      <c r="B51" s="49" t="s">
        <v>52</v>
      </c>
      <c r="C51" s="5" t="s">
        <v>105</v>
      </c>
      <c r="D51" s="7" t="s">
        <v>109</v>
      </c>
      <c r="E51" s="15">
        <v>44797</v>
      </c>
      <c r="F51" s="9" t="s">
        <v>192</v>
      </c>
      <c r="G51" s="24">
        <v>45229</v>
      </c>
      <c r="H51" s="28" t="s">
        <v>188</v>
      </c>
      <c r="I51" s="9"/>
    </row>
    <row r="52" spans="2:9" ht="23.9" customHeight="1" x14ac:dyDescent="0.25">
      <c r="B52" s="50" t="s">
        <v>88</v>
      </c>
      <c r="C52" s="5" t="s">
        <v>123</v>
      </c>
      <c r="D52" s="48" t="s">
        <v>277</v>
      </c>
      <c r="E52" s="15">
        <v>44097</v>
      </c>
      <c r="F52" s="32" t="s">
        <v>278</v>
      </c>
      <c r="G52" s="24">
        <v>45740</v>
      </c>
      <c r="H52" s="28" t="s">
        <v>188</v>
      </c>
    </row>
    <row r="53" spans="2:9" x14ac:dyDescent="0.25">
      <c r="B53" s="6" t="s">
        <v>11</v>
      </c>
      <c r="C53" s="5" t="s">
        <v>103</v>
      </c>
      <c r="D53" s="36" t="s">
        <v>108</v>
      </c>
      <c r="E53" s="15">
        <v>45111</v>
      </c>
      <c r="F53" s="32" t="s">
        <v>213</v>
      </c>
      <c r="G53" s="34">
        <f>IF(E53&lt;&gt;"",E53+1095,"")</f>
        <v>46206</v>
      </c>
      <c r="H53" s="32" t="s">
        <v>30</v>
      </c>
    </row>
    <row r="54" spans="2:9" x14ac:dyDescent="0.25">
      <c r="B54" s="2" t="s">
        <v>63</v>
      </c>
      <c r="C54" s="5" t="s">
        <v>105</v>
      </c>
      <c r="D54" s="36" t="s">
        <v>109</v>
      </c>
      <c r="E54" s="15">
        <v>45128</v>
      </c>
      <c r="F54" s="32" t="s">
        <v>198</v>
      </c>
      <c r="G54" s="58">
        <v>46134</v>
      </c>
      <c r="H54" s="34" t="s">
        <v>188</v>
      </c>
    </row>
    <row r="55" spans="2:9" x14ac:dyDescent="0.25">
      <c r="B55" s="2" t="s">
        <v>64</v>
      </c>
      <c r="C55" s="5" t="s">
        <v>105</v>
      </c>
      <c r="D55" s="36" t="s">
        <v>8</v>
      </c>
      <c r="E55" s="15">
        <v>45866</v>
      </c>
      <c r="F55" s="35" t="s">
        <v>234</v>
      </c>
      <c r="G55" s="58">
        <v>46134</v>
      </c>
      <c r="H55" s="34" t="s">
        <v>188</v>
      </c>
    </row>
    <row r="56" spans="2:9" x14ac:dyDescent="0.25">
      <c r="B56" s="6" t="s">
        <v>217</v>
      </c>
      <c r="C56" s="5" t="s">
        <v>105</v>
      </c>
      <c r="D56" s="36" t="s">
        <v>5</v>
      </c>
      <c r="E56" s="34">
        <v>45196</v>
      </c>
      <c r="F56" s="32" t="s">
        <v>113</v>
      </c>
      <c r="G56" s="58">
        <v>46134</v>
      </c>
      <c r="H56" s="34" t="s">
        <v>188</v>
      </c>
      <c r="I56" s="32" t="s">
        <v>30</v>
      </c>
    </row>
  </sheetData>
  <autoFilter ref="B2:I45" xr:uid="{93AEE130-1819-4963-8F0B-168345083A4C}"/>
  <mergeCells count="1">
    <mergeCell ref="B1:H1"/>
  </mergeCells>
  <phoneticPr fontId="16" type="noConversion"/>
  <conditionalFormatting sqref="G53">
    <cfRule type="expression" dxfId="3" priority="3">
      <formula>$G53&lt;TODAY()</formula>
    </cfRule>
  </conditionalFormatting>
  <conditionalFormatting sqref="H2 H11 H32 H34 H44 G57:G1048576">
    <cfRule type="cellIs" dxfId="2" priority="16" operator="equal">
      <formula>"yok"</formula>
    </cfRule>
  </conditionalFormatting>
  <conditionalFormatting sqref="H49:H52">
    <cfRule type="expression" dxfId="1" priority="4">
      <formula>$H49&lt;TODAY()</formula>
    </cfRule>
  </conditionalFormatting>
  <conditionalFormatting sqref="H54:H56">
    <cfRule type="expression" dxfId="0" priority="2">
      <formula>$H54&lt;TODAY()</formula>
    </cfRule>
  </conditionalFormatting>
  <hyperlinks>
    <hyperlink ref="B46" r:id="rId1" xr:uid="{1FBC7470-C1E9-4A70-89A6-C80F38B7718C}"/>
    <hyperlink ref="B47" r:id="rId2" xr:uid="{5652BAFC-25FC-44A1-886B-278FA62D437D}"/>
    <hyperlink ref="B50" r:id="rId3" xr:uid="{ECA0734A-365D-4839-9CD1-A6F9FEFF8543}"/>
    <hyperlink ref="B51" r:id="rId4" xr:uid="{B8A0C55A-79B5-46E8-8241-A20409E47965}"/>
    <hyperlink ref="B52" r:id="rId5" display="036_CT_QMM1.3 Akredite Kalibrasyon Şirketleri" xr:uid="{760AD741-FD56-4096-9D6D-1935248BA684}"/>
    <hyperlink ref="B53" r:id="rId6" xr:uid="{8CD93986-52A1-4832-A9CA-00DDB28DF35C}"/>
    <hyperlink ref="B55" r:id="rId7" xr:uid="{E9191D11-EDE8-4113-B54E-A1CD5366435A}"/>
    <hyperlink ref="B54" r:id="rId8" xr:uid="{0F5BEDED-A38D-427F-B3F7-FC5D22212DF1}"/>
  </hyperlinks>
  <pageMargins left="0.7" right="0.7" top="0.75" bottom="0.75" header="0.3" footer="0.3"/>
  <pageSetup orientation="portrait" r:id="rId9"/>
  <customProperties>
    <customPr name="_pios_id" r:id="rId10"/>
  </customProperties>
  <legacyDrawing r:id="rId1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1</vt:i4>
      </vt:variant>
    </vt:vector>
  </HeadingPairs>
  <TitlesOfParts>
    <vt:vector size="3" baseType="lpstr">
      <vt:lpstr>Liste</vt:lpstr>
      <vt:lpstr>İPTAL</vt:lpstr>
      <vt:lpstr>Liste!_Toc193180977</vt:lpstr>
    </vt:vector>
  </TitlesOfParts>
  <Company>BOSCH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ake4iz</dc:creator>
  <cp:lastModifiedBy>FIXED-TERM Unaldi Elif (ManP/QMM9)</cp:lastModifiedBy>
  <dcterms:created xsi:type="dcterms:W3CDTF">2018-09-06T07:38:31Z</dcterms:created>
  <dcterms:modified xsi:type="dcterms:W3CDTF">2026-07-06T07:36:01Z</dcterms:modified>
</cp:coreProperties>
</file>